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csys-my.sharepoint.com/personal/stevene_tracsystems_com/Documents/Development/Seanergy/"/>
    </mc:Choice>
  </mc:AlternateContent>
  <xr:revisionPtr revIDLastSave="0" documentId="8_{A3FB64DD-C817-4C99-A338-F6ECC5C9ED7C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Summary" sheetId="5" r:id="rId1"/>
    <sheet name="MVP" sheetId="1" r:id="rId2"/>
    <sheet name="Gantt" sheetId="6" r:id="rId3"/>
    <sheet name="MVP2" sheetId="4" r:id="rId4"/>
    <sheet name="Out of Scope" sheetId="3" r:id="rId5"/>
  </sheets>
  <definedNames>
    <definedName name="rate">'Out of Scope'!$K$1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9" i="1"/>
  <c r="E2" i="1"/>
  <c r="G19" i="1"/>
  <c r="F19" i="1"/>
  <c r="G10" i="1"/>
  <c r="F10" i="1"/>
  <c r="G2" i="1"/>
  <c r="F2" i="1"/>
  <c r="E27" i="1" l="1"/>
  <c r="C13" i="5"/>
  <c r="C12" i="5"/>
  <c r="C14" i="5"/>
  <c r="C16" i="5" l="1"/>
  <c r="D7" i="5" s="1"/>
</calcChain>
</file>

<file path=xl/sharedStrings.xml><?xml version="1.0" encoding="utf-8"?>
<sst xmlns="http://schemas.openxmlformats.org/spreadsheetml/2006/main" count="977" uniqueCount="252">
  <si>
    <t>MVP Project Plan — Library Resource &amp; PC Access System</t>
  </si>
  <si>
    <t>Project at a Glance</t>
  </si>
  <si>
    <t>Modules</t>
  </si>
  <si>
    <t>Features</t>
  </si>
  <si>
    <t>Total Effort (Hrs)</t>
  </si>
  <si>
    <t>Start Date</t>
  </si>
  <si>
    <t>End Date</t>
  </si>
  <si>
    <t>May 4th</t>
  </si>
  <si>
    <t>June 30th</t>
  </si>
  <si>
    <t>Module Breakdown</t>
  </si>
  <si>
    <t>Module</t>
  </si>
  <si>
    <t>Effort (Hrs)</t>
  </si>
  <si>
    <t>Start</t>
  </si>
  <si>
    <t>End</t>
  </si>
  <si>
    <t>Module 1: User Kiosk</t>
  </si>
  <si>
    <t>May 29th</t>
  </si>
  <si>
    <t>Module 2: Admin / Nerve Center</t>
  </si>
  <si>
    <t>June 12th</t>
  </si>
  <si>
    <t>Module 3: PC Access</t>
  </si>
  <si>
    <t>May 18th</t>
  </si>
  <si>
    <t>June 18th</t>
  </si>
  <si>
    <t>UAT, Fixes &amp; Deployment Readiness</t>
  </si>
  <si>
    <t>TOTAL MVP</t>
  </si>
  <si>
    <t>Phase</t>
  </si>
  <si>
    <t>Feature / Screen</t>
  </si>
  <si>
    <t>Scope</t>
  </si>
  <si>
    <t>Total Efforts (Hrs)</t>
  </si>
  <si>
    <t>Planned Start Date</t>
  </si>
  <si>
    <t>Planned End Date</t>
  </si>
  <si>
    <t>PHASE 1 (May 4 - May 22, 2026)</t>
  </si>
  <si>
    <t>User Kiosk</t>
  </si>
  <si>
    <t xml:space="preserve">Welcome screen </t>
  </si>
  <si>
    <t xml:space="preserve">• Account Categorization: Implement a screen to choose between 'I have an account' or 'I do not have an account'.  We implemented as Patron and guest
• Customizable UI: Allow administrators to edit button text or skip the categorization screen entirely.  
• Inactivity Logic: System must reset to the 'Home' screen after a configured number of idle seconds.  
• Visible Timer: Provide an optional, on-screen countdown timer before the auto-reset occurs.
• Categorization Bypass: Admin must have the option to skip the Patron/Guest selection screen entirely.  
• UI Flexibility: All button text for "Patron" and "Guest" must be fully customizable by the admin.  </t>
  </si>
  <si>
    <t>Login Screen for Patrons</t>
  </si>
  <si>
    <t>• User Detection: System automatically identifies user type via ID patterns and applies the correct login rules.  
• Barcode Login: Support scanning of physical barcodes to automatically populate the ID field.  
• Instant Login: Single-click access for users without accounts (Guest Mode).  
• Privacy Purge: Anonymize and delete temporary guest accounts immediately after the session ends.</t>
  </si>
  <si>
    <t>Resources Selection (PC, Printer, Conference)</t>
  </si>
  <si>
    <t>• Type Filtering: Users select specific resource types (e.g., PC, Conference Room, or 3D Printer).  
• Contextual Rules: System applies specific time limits and eligibility rules based on the chosen resource.  
• Schedule Picker: Provide a date and time-slot selection interface for future bookings.</t>
  </si>
  <si>
    <t>Reservation Management</t>
  </si>
  <si>
    <t xml:space="preserve">• Use Now: Enable immediate session starts for resources that are currently available.  
• Book Later: Allow users to schedule future sessions based on system-wide availability.  
• Lead Time Rule: Restrict bookings based on how early or late the user is attempting to schedule.  </t>
  </si>
  <si>
    <t>Get Confirmation Details</t>
  </si>
  <si>
    <t>• Reservation Display: Show a full summary of the reservation details on-screen after completion.  
• Email Dispatch: Allow patrons to send a confirmation email to themselves from the kiosk.  
• Live Tracking Link: The confirmation email must include a dynamic link that allows patrons to track their real-time waitlist position.
• HTML Placeholders: Use customizable templates with placeholders: {patron_name}, {barcode}, and {barcode_last_four}.</t>
  </si>
  <si>
    <t>Waitlist Management</t>
  </si>
  <si>
    <t>• Automated Queue: Allow users to join a waitlist if all selected resource types are currently occupied.  
• FIFO Logic: Resources are assigned strictly in the order users joined the queue (First-In, First-Out).  
• Wait Time Range: Display estimated wait times as a range (e.g., '10–15 minutes') rather than a fixed value.</t>
  </si>
  <si>
    <t>Existing Reservation Listing</t>
  </si>
  <si>
    <t>• Active Bookings: Provide a dashboard for patrons to see all their upcoming and active sessions.  
• Detailed Info: Display specific resource and time information for every listed reservation.
• Cancellation: Allow patrons to view and cancel their own bookings based on allowed rules.</t>
  </si>
  <si>
    <t>PHASE 2 (May 4 - May 31, 2026)</t>
  </si>
  <si>
    <t xml:space="preserve">Admin/Nerve </t>
  </si>
  <si>
    <t>Users Management</t>
  </si>
  <si>
    <t>• User Account Management: Support creation, update, view, merge, delete, archive, anonymize, ban/reinstate users, including guest/visitor accounts with expiry, restrictions, and full profile, identity, and classification fields
• User Search &amp; Discovery: Provide quick search across logon ID, alias, name, email, phone, address, birthdate, and IDs, along with advanced multi-field search using AND/OR criteria and filters.
• User Profile &amp; Identification: Maintain core identity, personal information, multiple identifiers (barcode, QR, prox, gov ID, external IDs), authentication history, and configurable/custom fields.
• User Groups, Types &amp; Tiers: Manage user groups (session limits), user types (standard, guest, visitor, instant with lifecycle rules), and user tier.
• User Actions &amp; Reservations: Enable actions such as creating passes, reservations (scheduled, standby, group), viewing activity/history, and handling session tracking and user-related operations.
• Bulk Operations &amp; Data Handling: Support bulk actions including archive, anonymize, mass update, import users, export usage data, and lifecycle automation (expire, anonymize, purge).
• Activity, Sessions &amp; History: Track complete user history, authentication logs, session activity (current, upcoming, past), and maintain audit-level visibility of user interactions.</t>
  </si>
  <si>
    <t>Resources Management</t>
  </si>
  <si>
    <t>• Resource Configuration: Manage all reservable resources including authenticated (computers, workstations, laptops) and unauthenticated items (rooms, desks, devices, maker-space, A/V equipment) with type, location, area, and operational settings.
• Resource Lifecycle Management: Support full lifecycle actions including create, update, view/history, disable/re-enable, replicate, link, rename, merge, delist, anonymize, destroy, return, and activate/deactivate with audit tracking.
• Resource Types &amp; Categorization: Define and manage resource types (authenticated/unauthenticated), configure reservation rules, scope (global, location, area, subgroup), and enable advanced search and filtering.
• Licensing &amp; Deployment: Assign, update (relicense), remove licenses, and manage previously licensed resources with proper device behavior handling.
• Resource Operations &amp; Bulk Actions: Enable bulk actions such as activate, disable, merge, license assignment, and support grouping (collections) for reporting and dashboard filtering.
• Resource Visibility &amp; Monitoring: Display real-time resource status (available, maintenance, offline), support search/filter by type, location, and area, and maintain detailed resource history, notes, asset/service tags, and metadata.
• Access &amp; Authentication Handling: Support both login-required and non-login resource categories with appropriate access and session behavior</t>
  </si>
  <si>
    <t>Reservations Management</t>
  </si>
  <si>
    <t>• Reservation Types &amp; Modes: Support multiple reservation types including Block, Scheduled, Walk-up, Queued, Fill-in (Standby), Group, Maintenance, with flags for Assisted, Priority, and Waitlist to handle diverse booking scenarios and queue-based allocation.
• Reservation Management: Enable creation, update, modification (add/release resources), cancellation, extension, sorting, and recovery of reservations including missed reservation handling.
• Queue &amp; Allocation Logic: Implement queue-based assignment, priority handling, standby (fill-in) allocation, and shared/free time usage when personal allocation is unavailable .
• Reservation Status &amp; Indicators: Display real-time statuses such as active, scheduled, queued, maintenance, assisted, overdue, and needs-attention with dashboard visibility and alert mechanisms.
• Search, Filters &amp; Views: Provide quick and advanced search, filtering by branch, type, date, and status, along with upcoming and recent activity views including alerts and patron details.
• Time Rules &amp; Controls: Support reservation extensions, grace periods, overdue detection, and enforce rules for session duration, thresholds, and automatic actions.
• Activity &amp; Monitoring: Track reservation lifecycle, display recent activity logs, highlight overdue or missed reservations, and enable recreation of reservations from past records.</t>
  </si>
  <si>
    <t>Login Screen for Nerve Center Users / IT admins</t>
  </si>
  <si>
    <t>• Credential Masking: Implement a standard username and password form where the password field masks all input for confidentiality.
• RBAC Enforcement: Dynamically grant access to system features and modules based on the staff member's assigned role (e.g., Super Admin vs. Restricted Staff).
• Account Lockout Logic: Automatically lock the account after three consecutive unsuccessful attempts and display instructions to contact the system administrator.
• Access Control: Enforce strict data boundaries immediately upon login so staff can only view/modify data within their authorized scope.
• Security Auditing: Implement mandatory logging for all login attempts (successful and failed), capturing the timestamp and user ID for audit trails.
• Validation Messaging: Display clear, non-specific error messages for unauthorized users while validating credentials against the centralized staff database.</t>
  </si>
  <si>
    <t>Dashboard</t>
  </si>
  <si>
    <t>• Metric Card Widgets: Display real-time KPIs for Active Sessions, Available Now, System-wide Utilization Rate, and Offline/Maintenance counts.
• Branch Occupancy Heatmap: Implement a real-time grid representing computer stations with the branch name and occupancy count (e.g., "28 / 60 occupied") clearly visible.
• Heatmap Color Coding: Use standardized Red (Occupied), Green (Available), and Gray (Offline) colors with a clear legend.
• Granular PC Support: Distinguish between Adult/Child PC types, Express PCs, and specific physical zones or floors.
• Peak Usage Hours: Provide a panel showing predefined time slots with color-coded utilization percentages (Red/Orange/Blue).
• Today's Statistics: Show cumulative Total Sessions, Avg. Session Time, and Queue Wait Time.
• Recent Activity Feed: Scrollable log with timestamps, computer IDs, and visual icons/colors for session starts, reservations, and system alerts.
• Configurable Auto-Refresh: Enable regular data updates at administrator-defined intervals without requiring page reloads.
• Role-Based Filtering: Staff can filter by branch or computer group, strictly limited to their authorized scope based on permissions.</t>
  </si>
  <si>
    <t>Locations</t>
  </si>
  <si>
    <t>Locations: Manage branch/site records that represent physical library locations, including name, code, address, phone, website/public info, contact details, time zone, nearby sites, and status flags
Location details: Create, view, edit, decommission, recommission, or disable a location; maintain basic location metadata, server assignment, and public-facing information used by staff and patrons.
Branch Hours &amp; Schedule: Define daily operating hours, opening/closing time rules, holiday closures, modified hours, shutdown schedules, and special exceptions; these settings drive reservation availability, access control, and automatic shutdown/reopen behavior.</t>
  </si>
  <si>
    <t>Constructs</t>
  </si>
  <si>
    <t>Portals:	
• Endpoint Management: Create access portals specifically for Kiosks or PC Access stations.
• MVP Portal Sync: Link portals to specific locations; updates to the URI or location must reflect across all connected workstations instantly.
• Secure Routing: Route all portal requests through encrypted workflows, ensuring the "Secure Connection" UI indicator remains valid.
Workflows:
• Auth Handling: Create workflows for authentication, field mappings, and integration routing.
• MVP Reverse Lookup: Configure rules to match incoming patron IDs against external databases (like SIP2) instantly.
• Step Validation: Workflow updates must include a "Test Mode" to verify integration routing before going live.
Segments:
• Network Routing: Define access segments that control how servers and workstations connect.
• MVP Logic: Implement "Route Behavior" rules that prioritize traffic for active sessions over background system updates.
• Safety Check: Enforce a "No Dependencies" rule preventing segment deletion if active workstations are still assigned.</t>
  </si>
  <si>
    <t>System</t>
  </si>
  <si>
    <t>• System Configuration: Manage organization details, hierarchy (locations, areas), system preferences, environments, database settings, networking configurations, and documentation/help.
• Security Management: Configure 2FA (including email priority), authentication methods (password, PIN, external), password policies, advanced security settings, and enforce access control across organization, location, and user tiers.
• Integrations &amp; Email: Manage external system integrations, authentication services, email configuration (SMTP, OAuth, EWS, Entra), messaging, email templates, and authorized contact data exports.
• Automation &amp; Operations: Execute system scripts, scheduled tasks, bulk user import, data anonymization (options and scheduling), keyword management, and workstation behavior configurations.
• Monitoring &amp; Logging: Monitor system logs, configure audit trails, log file prefixes by location, and track administrative and system activities for compliance.
• Access &amp; UI Settings: Support settings hierarchy with inheritance, role-based and zone-based access control, and manage language preferences, theming, and UI customization</t>
  </si>
  <si>
    <t>PHASE 3 (May 4 - June 15, 2026)</t>
  </si>
  <si>
    <t>PC Access</t>
  </si>
  <si>
    <t>Welcome Screen</t>
  </si>
  <si>
    <t>• Visual Status Indicators: Display high-visibility color-coded frames (Blue for Available, Orange for Unavailable) visible from 30–50 feet.  
• Standardized UI: Show Customer Label, description, available duration (e.g., "60 min"), and internal hostname with timezone.  
• Staff Access: Provide dedicated login shortcuts for Librarians/Admins and allow remote enable/disable with real-time screen updates.  
• Accessibility: Support language selection (Spanish) and 4K-optimized zoom/sizing controls for vision needs.</t>
  </si>
  <si>
    <t>Policy</t>
  </si>
  <si>
    <t>• Rich Text Content: Support fully customizable library policies with rich text formatting (cut/paste from admin portal).  
• Acknowledgment Logic: Optional "Force Scroll" requirement where the "I Accept" button remains inactive until the user reaches the end of the text.  
• Configurable Actions: Button labels ("Cancel" / "I Accept") must be customizable; include an optional footer for non-clickable policy links.</t>
  </si>
  <si>
    <t>Login</t>
  </si>
  <si>
    <t>Credential Entry: Support library barcode/username and masked password fields with customizable placeholder hint text.  
• Security Trust: Prominently display a "Secure Connection" indicator to assure patrons of data encryption during transmission.  
• Navigation: Provide "Back" and "Exit" buttons to return to the welcome screen or cancel the login workflow entirely.</t>
  </si>
  <si>
    <t>Time Tracker</t>
  </si>
  <si>
    <t>• Advanced Countdown: Display MM:SS timer with a "Session Options" button and a shrinking (not counting up) high-visibility progress bar.  
• Color Progression: Green (&gt;50%), Blue (Mid-threshold), Yellow (Low: 10m), and Red (Critical: 5m) with flashing alerts at threshold transitions.  
• Engagement Logging: Flashing stops if clicked; the system logs this as audit proof that the patron was warned of remaining time.  
• UI Priority: Timer must use the highest Z-index to stay visible above full-screen videos and all other applications.</t>
  </si>
  <si>
    <t xml:space="preserve">Extension Wizard </t>
  </si>
  <si>
    <t>• Utilization-Based Tiers: Dynamically offer Simple, Standard, or Long extensions based on library load (e.g., disable all if &gt;90% computers are in use).  
• User Feedback: Unavailable options must be grayed out with specific reasons (e.g., "Not available due to high demand") and current utilization stats.  
• Validation &amp; Limits: Enforce per-session (e.g., max 2) and per-day (e.g., max 4 hours) extension limits with automated server-side validation.</t>
  </si>
  <si>
    <t>Work Saving &amp; Logout</t>
  </si>
  <si>
    <t>• Grace Period Prompt: Trigger a 2-3 minute countdown prompt at 00:00 or upon remote termination to allow patrons to save work.  
• Logout Options: Offer "I’ve Saved My Work" for immediate exit or "I Need More Time" to bridge back to the Extension Wizard.  
• Forced Termination: Upon grace period expiry, force-close all apps, scrub temporary user data, and return machine to "Available" status.</t>
  </si>
  <si>
    <t>System Stability</t>
  </si>
  <si>
    <t>• Crash Recovery: Maintain session records on the server; if a machine reboots, it must remain reserved for the patron with the remaining time tracked.</t>
  </si>
  <si>
    <t>TOTAL</t>
  </si>
  <si>
    <t>Gantt Chart — MVP Delivery Timeline</t>
  </si>
  <si>
    <t> </t>
  </si>
  <si>
    <t>Task</t>
  </si>
  <si>
    <t>Days</t>
  </si>
  <si>
    <t>Hrs</t>
  </si>
  <si>
    <t xml:space="preserve">    Welcome screen</t>
  </si>
  <si>
    <t xml:space="preserve">    Login Screen for Patrons</t>
  </si>
  <si>
    <t xml:space="preserve">    Resources Selection (PC, Printer, Conference)</t>
  </si>
  <si>
    <t xml:space="preserve">    Reservation Management</t>
  </si>
  <si>
    <t xml:space="preserve">    Get Confirmation Details</t>
  </si>
  <si>
    <t xml:space="preserve">    Waitlist Management</t>
  </si>
  <si>
    <t xml:space="preserve">    Existing Reservation Listing</t>
  </si>
  <si>
    <t xml:space="preserve">    Users Management</t>
  </si>
  <si>
    <t xml:space="preserve">    Resources Management</t>
  </si>
  <si>
    <t xml:space="preserve">    Reservations Management</t>
  </si>
  <si>
    <t xml:space="preserve">    Login Screen for Nerve Center Users / IT admins</t>
  </si>
  <si>
    <t xml:space="preserve">    Dashboard</t>
  </si>
  <si>
    <t xml:space="preserve">    Locations</t>
  </si>
  <si>
    <t xml:space="preserve">    Constructs</t>
  </si>
  <si>
    <t xml:space="preserve">    System</t>
  </si>
  <si>
    <t xml:space="preserve">    Welcome Screen</t>
  </si>
  <si>
    <t xml:space="preserve">    Policy</t>
  </si>
  <si>
    <t xml:space="preserve">    Login</t>
  </si>
  <si>
    <t xml:space="preserve">    Time Tracker</t>
  </si>
  <si>
    <t xml:space="preserve">    Extension Wizard</t>
  </si>
  <si>
    <t xml:space="preserve">    Work Saving &amp; Logout</t>
  </si>
  <si>
    <t xml:space="preserve">    System Stability</t>
  </si>
  <si>
    <t>—</t>
  </si>
  <si>
    <t>Legend:</t>
  </si>
  <si>
    <t>Module 1 — User Kiosk</t>
  </si>
  <si>
    <t>Module 2 — Admin / Nerve Center</t>
  </si>
  <si>
    <t>Module 3 — PC Access</t>
  </si>
  <si>
    <t>UAT / Buffer</t>
  </si>
  <si>
    <t>• Schedule assumes 8 productive hours per day per developer (1 person per feature).</t>
  </si>
  <si>
    <t>• Module 1 runs as a single sequential track. Modules 2 and 3 use parallel tracks where serial work would exceed the calendar window.</t>
  </si>
  <si>
    <t>• Module 2 uses 4 tracks (3 backend + 1 frontend for Dashboard). Module 3 uses 2 tracks (frontend/UI + backend/desktop client).</t>
  </si>
  <si>
    <t>• Last development day: Wednesday, June 10, 2026. UAT, fixes, and deployment readiness run through Tuesday, June 30.</t>
  </si>
  <si>
    <t>Feature/Screen</t>
  </si>
  <si>
    <t>Functionality</t>
  </si>
  <si>
    <t>Yet to Start</t>
  </si>
  <si>
    <t>Development</t>
  </si>
  <si>
    <t>QA</t>
  </si>
  <si>
    <t>Review</t>
  </si>
  <si>
    <t>Completed</t>
  </si>
  <si>
    <t>Actual Start Date</t>
  </si>
  <si>
    <t>Actual End Date</t>
  </si>
  <si>
    <t>Phase 1</t>
  </si>
  <si>
    <t>User-kiosk</t>
  </si>
  <si>
    <t>Resource Booking Screen</t>
  </si>
  <si>
    <t>Compound Booking</t>
  </si>
  <si>
    <t>User can book multiple resources together if all are available.</t>
  </si>
  <si>
    <t>Waitlist Screen</t>
  </si>
  <si>
    <t>Spillover Assignment</t>
  </si>
  <si>
    <t>System assigns user to another available resource if preferred one is not available.</t>
  </si>
  <si>
    <t>Account Creation Screen</t>
  </si>
  <si>
    <t>Self-Service Account Creation</t>
  </si>
  <si>
    <t>Patron who does not have an account can create one directly at the kiosk via a dedicated button or full screen (On-Demand User Generation: Disabled / Kiosk button / Screen).</t>
  </si>
  <si>
    <t>Phase 2</t>
  </si>
  <si>
    <t>Admin and Nerve Center</t>
  </si>
  <si>
    <t>Near Branches Display</t>
  </si>
  <si>
    <t>Show nearby branch status with toggle control.</t>
  </si>
  <si>
    <t>Heatmap Zoom</t>
  </si>
  <si>
    <t>Allow zoom in/out with real-time preview and variable density view.</t>
  </si>
  <si>
    <t>Heatmap Grouping</t>
  </si>
  <si>
    <t>Group tiles by area, pool, status, or duration state.</t>
  </si>
  <si>
    <t>Heatmap Sorting</t>
  </si>
  <si>
    <t>Sort by resource name, status, type, or remaining time with multiple criteria.</t>
  </si>
  <si>
    <t>Heatmap Filtering</t>
  </si>
  <si>
    <t>Filter by area, reservation type, status, and resource type using checkboxes.</t>
  </si>
  <si>
    <t>Legend Display</t>
  </si>
  <si>
    <t>Show or hide legend placement on the heatmap header or between widgets and heatmap.</t>
  </si>
  <si>
    <t>Widget Visibility</t>
  </si>
  <si>
    <t>Show or hide side widgets and top widgets while ensuring at least one widget remains visible.</t>
  </si>
  <si>
    <t>Details Toggle</t>
  </si>
  <si>
    <t>Show or hide reservation details such as letter code, time symbol, and owner information.</t>
  </si>
  <si>
    <t>Hover Popup</t>
  </si>
  <si>
    <t>Show clipboard copy, user navigation, resource navigation, and notes/details in hover popup.</t>
  </si>
  <si>
    <t>Session Timer Symbols</t>
  </si>
  <si>
    <t>Display circle, pentagon, square, and triangle symbols based on remaining time thresholds.</t>
  </si>
  <si>
    <t>Resources</t>
  </si>
  <si>
    <t>Compound Resource Create</t>
  </si>
  <si>
    <t>Create static or dynamic compound resource definitions.</t>
  </si>
  <si>
    <t>Compound Resource Rules</t>
  </si>
  <si>
    <t>Define membership rules and availability evaluation.</t>
  </si>
  <si>
    <t>Compound Resource Manual Members</t>
  </si>
  <si>
    <t>Allow direct resource selection into compound resource membership.</t>
  </si>
  <si>
    <t>Compound Resource Dynamic Members</t>
  </si>
  <si>
    <t>Allow type-based dynamic membership across scope.</t>
  </si>
  <si>
    <t>Zone Create</t>
  </si>
  <si>
    <t>Create administrative zones defining where tier permissions may be exercised.</t>
  </si>
  <si>
    <t>Zone Update</t>
  </si>
  <si>
    <t>Edit zone scope and included locations, pools, or areas.</t>
  </si>
  <si>
    <t>Zone Delete</t>
  </si>
  <si>
    <t>Remove unused zones with permission dependency checks.</t>
  </si>
  <si>
    <t>Zone Mapping</t>
  </si>
  <si>
    <t>Map zones to one or more locations, pools, or areas.</t>
  </si>
  <si>
    <t>Reservations</t>
  </si>
  <si>
    <t>Waitlist Spillover</t>
  </si>
  <si>
    <t>Move queue to other areas/resources based on pool and spillover rules.</t>
  </si>
  <si>
    <t>Reports</t>
  </si>
  <si>
    <t>Report Create</t>
  </si>
  <si>
    <t>Create a new report definition with filters and output format.</t>
  </si>
  <si>
    <t>Report Update</t>
  </si>
  <si>
    <t>Edit report definition, filters, and display settings.</t>
  </si>
  <si>
    <t>Report Delete</t>
  </si>
  <si>
    <t>Remove report definitions safely.</t>
  </si>
  <si>
    <t>Report Run</t>
  </si>
  <si>
    <t>Execute a report immediately using current filters.</t>
  </si>
  <si>
    <t>Report Schedule Create</t>
  </si>
  <si>
    <t>Create scheduled report execution jobs.</t>
  </si>
  <si>
    <t>Report Schedule Update</t>
  </si>
  <si>
    <t>Modify report scheduling rules and delivery settings.</t>
  </si>
  <si>
    <t>Report Schedule Remove</t>
  </si>
  <si>
    <t>Remove report schedules.</t>
  </si>
  <si>
    <t>Report Filters</t>
  </si>
  <si>
    <t>Filter reports by location, area, pool, resource type, collection, group, or resource.</t>
  </si>
  <si>
    <t>Report Sort</t>
  </si>
  <si>
    <t>Sort report listings by name, type, last run date, or schedule.</t>
  </si>
  <si>
    <t>Report Export</t>
  </si>
  <si>
    <t>Export report output for staff processing.</t>
  </si>
  <si>
    <t>Usage Export</t>
  </si>
  <si>
    <t>Export usage and account data for external use.</t>
  </si>
  <si>
    <t>Current Activity Report</t>
  </si>
  <si>
    <t>Report on current activity, queue, and live reservation data.</t>
  </si>
  <si>
    <t>Historical Activity Report</t>
  </si>
  <si>
    <t>Report on last 30 days or full history.</t>
  </si>
  <si>
    <t>Reservation Transaction Report</t>
  </si>
  <si>
    <t>Track session type, duration, extension count, and timing fields.</t>
  </si>
  <si>
    <t>Reporting Groups</t>
  </si>
  <si>
    <t>Use reporting groups and resource collections for staff oversight.</t>
  </si>
  <si>
    <t>Users</t>
  </si>
  <si>
    <t>User Tier Create</t>
  </si>
  <si>
    <t>Create a permission level or role.</t>
  </si>
  <si>
    <t>User Tier Update</t>
  </si>
  <si>
    <t>Modify tier permissions and accessibility.</t>
  </si>
  <si>
    <t>User Tier Delete</t>
  </si>
  <si>
    <t>Remove a tier only when unused.</t>
  </si>
  <si>
    <t>User Type Create</t>
  </si>
  <si>
    <t>Create standard or special account types.</t>
  </si>
  <si>
    <t>User Type Update</t>
  </si>
  <si>
    <t>Configure lifecycle rules for user types.</t>
  </si>
  <si>
    <t>User Class/Criteria</t>
  </si>
  <si>
    <t>Configure class matching and calculated criteria.</t>
  </si>
  <si>
    <t>Bulk User Actions</t>
  </si>
  <si>
    <t>Mass update, import, export, and other bulk operations.</t>
  </si>
  <si>
    <t>Display Processing Server</t>
  </si>
  <si>
    <t>Display which server is currently processing requests for the viewed portal/session.</t>
  </si>
  <si>
    <t>Pools Admin</t>
  </si>
  <si>
    <t>Provide full CRUD and configuration of pools used for queue spillover, grouped oversight, and kiosk assignment.</t>
  </si>
  <si>
    <t>Location Override Report Schema</t>
  </si>
  <si>
    <t>Allow location-level override reporting or schema selection where data partitioning/report logic requires it.</t>
  </si>
  <si>
    <t>Experiences</t>
  </si>
  <si>
    <t>Manage experience-specific settings for kiosk, staff, and reservation interfaces.</t>
  </si>
  <si>
    <t>Servers</t>
  </si>
  <si>
    <t>Manage server definitions, active state, routing preference, and maintenance handling.</t>
  </si>
  <si>
    <t>Out of Scope</t>
  </si>
  <si>
    <t>Security</t>
  </si>
  <si>
    <t>Unique ID Handling</t>
  </si>
  <si>
    <t>Implement secure handling of user identifiers using encryption or hashing, and maintain a history of ID changes. This ensures data security while allowing traceability of user identity updates over time</t>
  </si>
  <si>
    <t>Infrastructure</t>
  </si>
  <si>
    <t>API Configuration</t>
  </si>
  <si>
    <t>Enable secure API access using token-based authentication with configurable expiry and role-based permissions. This ensures controlled and secure communication between system components.</t>
  </si>
  <si>
    <t>Admin</t>
  </si>
  <si>
    <t>System Actions</t>
  </si>
  <si>
    <t>Provide centralized administrative controls to perform system-wide actions such as shutdown, logoff, reboot, and wake operations. The system should notify active users before execution and ensure safe handling of ongoing sessions.</t>
  </si>
  <si>
    <t xml:space="preserve">Implement secure handling of user identifiers using encryption or hashing, </t>
  </si>
  <si>
    <t>In Scope</t>
  </si>
  <si>
    <t>maintain a history of ID changes. This ensures data security while allowing traceability of user identity updates over time</t>
  </si>
  <si>
    <t>Agreed</t>
  </si>
  <si>
    <t>Needed but not by July 1st</t>
  </si>
  <si>
    <t>Needed - Should be MVP</t>
  </si>
  <si>
    <t>Can start with multiple hardcoded levels and add the ability to customize after the initial beta.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</si>
</sst>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F800]dddd\,\ mmmm\ dd\,\ yyyy"/>
    <numFmt numFmtId="166" formatCode="mmm\ d"/>
  </numFmts>
  <fonts count="36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1"/>
      <color rgb="FF2F75B5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0"/>
      <color rgb="FF1F2937"/>
      <name val="Calibri"/>
      <family val="2"/>
    </font>
    <font>
      <sz val="10"/>
      <color rgb="FF1F2937"/>
      <name val="Calibri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Calibri"/>
      <family val="2"/>
    </font>
    <font>
      <sz val="8"/>
      <color rgb="FF6B7280"/>
      <name val="Calibri"/>
      <family val="2"/>
    </font>
    <font>
      <b/>
      <sz val="11"/>
      <color rgb="FF1F3A5F"/>
      <name val="Calibri"/>
      <family val="2"/>
    </font>
    <font>
      <b/>
      <sz val="10"/>
      <color rgb="FF1F3A5F"/>
      <name val="Calibri"/>
      <family val="2"/>
    </font>
    <font>
      <b/>
      <i/>
      <sz val="10"/>
      <color rgb="FF374151"/>
      <name val="Calibri"/>
      <family val="2"/>
    </font>
    <font>
      <i/>
      <sz val="10"/>
      <color rgb="FF374151"/>
      <name val="Calibri"/>
      <family val="2"/>
    </font>
    <font>
      <sz val="8"/>
      <color rgb="FF000000"/>
      <name val="Calibri"/>
      <family val="2"/>
    </font>
    <font>
      <b/>
      <sz val="16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1F2937"/>
      <name val="Calibri"/>
      <family val="2"/>
      <scheme val="minor"/>
    </font>
    <font>
      <sz val="16"/>
      <color rgb="FF6B7280"/>
      <name val="Calibri"/>
      <family val="2"/>
      <scheme val="minor"/>
    </font>
    <font>
      <b/>
      <sz val="16"/>
      <color rgb="FF1F3A5F"/>
      <name val="Calibri"/>
      <family val="2"/>
      <scheme val="minor"/>
    </font>
    <font>
      <sz val="16"/>
      <color rgb="FF1F2937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3A5F"/>
        <bgColor rgb="FF374151"/>
      </patternFill>
    </fill>
    <fill>
      <patternFill patternType="solid">
        <fgColor rgb="FFF3F4F6"/>
        <bgColor rgb="FFFFFFFF"/>
      </patternFill>
    </fill>
    <fill>
      <patternFill patternType="solid">
        <fgColor rgb="FF2E7D7B"/>
        <bgColor rgb="FF008080"/>
      </patternFill>
    </fill>
    <fill>
      <patternFill patternType="solid">
        <fgColor rgb="FFDBEAFE"/>
        <bgColor rgb="FFE0E7FF"/>
      </patternFill>
    </fill>
    <fill>
      <patternFill patternType="solid">
        <fgColor rgb="FFDCFCE7"/>
        <bgColor rgb="FFF3F4F6"/>
      </patternFill>
    </fill>
    <fill>
      <patternFill patternType="solid">
        <fgColor rgb="FFFEF3C7"/>
        <bgColor rgb="FFF3F4F6"/>
      </patternFill>
    </fill>
    <fill>
      <patternFill patternType="solid">
        <fgColor rgb="FF2E7D7B"/>
        <bgColor rgb="FF2F75B5"/>
      </patternFill>
    </fill>
    <fill>
      <patternFill patternType="solid">
        <fgColor rgb="FFDBEAFE"/>
        <bgColor rgb="FFDAE3F3"/>
      </patternFill>
    </fill>
    <fill>
      <patternFill patternType="solid">
        <fgColor rgb="FF60A5FA"/>
        <bgColor rgb="FF9CA3AF"/>
      </patternFill>
    </fill>
    <fill>
      <patternFill patternType="solid">
        <fgColor rgb="FFDCFCE7"/>
        <bgColor rgb="FFE2F0D9"/>
      </patternFill>
    </fill>
    <fill>
      <patternFill patternType="solid">
        <fgColor rgb="FF34D399"/>
        <bgColor rgb="FF00CCFF"/>
      </patternFill>
    </fill>
    <fill>
      <patternFill patternType="solid">
        <fgColor rgb="FFFEF3C7"/>
        <bgColor rgb="FFFFF2CC"/>
      </patternFill>
    </fill>
    <fill>
      <patternFill patternType="solid">
        <fgColor rgb="FFF59E0B"/>
        <bgColor rgb="FFFFCC00"/>
      </patternFill>
    </fill>
    <fill>
      <patternFill patternType="solid">
        <fgColor rgb="FFE5E7EB"/>
        <bgColor rgb="FFDAE3F3"/>
      </patternFill>
    </fill>
    <fill>
      <patternFill patternType="solid">
        <fgColor rgb="FF9CA3AF"/>
        <bgColor rgb="FF808080"/>
      </patternFill>
    </fill>
    <fill>
      <patternFill patternType="solid">
        <fgColor rgb="FFE2EFDA"/>
        <bgColor rgb="FFE5E7EB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30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13" fillId="6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164" fontId="9" fillId="3" borderId="0" xfId="1" applyNumberFormat="1" applyFont="1" applyFill="1" applyBorder="1" applyAlignment="1">
      <alignment horizontal="left"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10" fillId="3" borderId="0" xfId="1" applyNumberFormat="1" applyFont="1" applyFill="1" applyBorder="1" applyAlignment="1">
      <alignment horizontal="left" vertical="top" wrapText="1"/>
    </xf>
    <xf numFmtId="164" fontId="7" fillId="3" borderId="0" xfId="1" applyNumberFormat="1" applyFont="1" applyFill="1" applyBorder="1" applyAlignment="1">
      <alignment horizontal="left" vertical="top" wrapText="1"/>
    </xf>
    <xf numFmtId="164" fontId="0" fillId="3" borderId="0" xfId="1" applyNumberFormat="1" applyFont="1" applyFill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2" borderId="2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vertical="top"/>
    </xf>
    <xf numFmtId="0" fontId="11" fillId="4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14" fontId="1" fillId="2" borderId="2" xfId="0" applyNumberFormat="1" applyFont="1" applyFill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13" fillId="6" borderId="2" xfId="0" applyFont="1" applyFill="1" applyBorder="1" applyAlignment="1">
      <alignment horizontal="center" vertical="top" wrapText="1"/>
    </xf>
    <xf numFmtId="0" fontId="13" fillId="6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1" fillId="7" borderId="2" xfId="0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1" fontId="16" fillId="8" borderId="2" xfId="0" applyNumberFormat="1" applyFont="1" applyFill="1" applyBorder="1" applyAlignment="1">
      <alignment vertical="top"/>
    </xf>
    <xf numFmtId="1" fontId="3" fillId="8" borderId="2" xfId="0" applyNumberFormat="1" applyFont="1" applyFill="1" applyBorder="1" applyAlignment="1">
      <alignment horizontal="right" vertical="top"/>
    </xf>
    <xf numFmtId="165" fontId="2" fillId="0" borderId="2" xfId="0" applyNumberFormat="1" applyFont="1" applyBorder="1" applyAlignment="1">
      <alignment vertical="top"/>
    </xf>
    <xf numFmtId="165" fontId="3" fillId="8" borderId="2" xfId="0" applyNumberFormat="1" applyFont="1" applyFill="1" applyBorder="1" applyAlignment="1">
      <alignment horizontal="center" vertical="top"/>
    </xf>
    <xf numFmtId="165" fontId="16" fillId="8" borderId="2" xfId="0" applyNumberFormat="1" applyFont="1" applyFill="1" applyBorder="1" applyAlignment="1">
      <alignment vertical="top"/>
    </xf>
    <xf numFmtId="0" fontId="5" fillId="9" borderId="2" xfId="0" applyFont="1" applyFill="1" applyBorder="1" applyAlignment="1">
      <alignment vertical="top" wrapText="1"/>
    </xf>
    <xf numFmtId="0" fontId="4" fillId="9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top" wrapText="1"/>
    </xf>
    <xf numFmtId="0" fontId="5" fillId="11" borderId="2" xfId="0" applyFont="1" applyFill="1" applyBorder="1" applyAlignment="1">
      <alignment vertical="top" wrapText="1"/>
    </xf>
    <xf numFmtId="15" fontId="17" fillId="12" borderId="0" xfId="0" applyNumberFormat="1" applyFont="1" applyFill="1" applyAlignment="1">
      <alignment wrapText="1"/>
    </xf>
    <xf numFmtId="1" fontId="17" fillId="12" borderId="0" xfId="0" applyNumberFormat="1" applyFont="1" applyFill="1" applyAlignment="1">
      <alignment wrapText="1"/>
    </xf>
    <xf numFmtId="0" fontId="21" fillId="0" borderId="0" xfId="0" applyFont="1"/>
    <xf numFmtId="0" fontId="22" fillId="12" borderId="7" xfId="0" applyFont="1" applyFill="1" applyBorder="1" applyAlignment="1">
      <alignment wrapText="1"/>
    </xf>
    <xf numFmtId="0" fontId="22" fillId="12" borderId="8" xfId="0" applyFont="1" applyFill="1" applyBorder="1" applyAlignment="1">
      <alignment wrapText="1"/>
    </xf>
    <xf numFmtId="0" fontId="23" fillId="0" borderId="0" xfId="0" applyFont="1" applyAlignment="1">
      <alignment wrapText="1"/>
    </xf>
    <xf numFmtId="0" fontId="23" fillId="13" borderId="0" xfId="0" applyFont="1" applyFill="1" applyAlignment="1">
      <alignment wrapText="1"/>
    </xf>
    <xf numFmtId="0" fontId="21" fillId="19" borderId="0" xfId="0" applyFont="1" applyFill="1"/>
    <xf numFmtId="0" fontId="24" fillId="19" borderId="0" xfId="0" applyFont="1" applyFill="1" applyAlignment="1">
      <alignment wrapText="1"/>
    </xf>
    <xf numFmtId="0" fontId="25" fillId="19" borderId="0" xfId="0" applyFont="1" applyFill="1" applyAlignment="1">
      <alignment wrapText="1"/>
    </xf>
    <xf numFmtId="16" fontId="25" fillId="19" borderId="0" xfId="0" applyNumberFormat="1" applyFont="1" applyFill="1" applyAlignment="1">
      <alignment wrapText="1"/>
    </xf>
    <xf numFmtId="0" fontId="21" fillId="20" borderId="0" xfId="0" applyFont="1" applyFill="1"/>
    <xf numFmtId="0" fontId="21" fillId="13" borderId="0" xfId="0" applyFont="1" applyFill="1"/>
    <xf numFmtId="0" fontId="20" fillId="0" borderId="0" xfId="0" applyFont="1" applyAlignment="1">
      <alignment wrapText="1"/>
    </xf>
    <xf numFmtId="16" fontId="20" fillId="0" borderId="0" xfId="0" applyNumberFormat="1" applyFont="1" applyAlignment="1">
      <alignment wrapText="1"/>
    </xf>
    <xf numFmtId="0" fontId="21" fillId="21" borderId="0" xfId="0" applyFont="1" applyFill="1"/>
    <xf numFmtId="0" fontId="24" fillId="21" borderId="0" xfId="0" applyFont="1" applyFill="1" applyAlignment="1">
      <alignment wrapText="1"/>
    </xf>
    <xf numFmtId="0" fontId="25" fillId="21" borderId="0" xfId="0" applyFont="1" applyFill="1" applyAlignment="1">
      <alignment wrapText="1"/>
    </xf>
    <xf numFmtId="16" fontId="25" fillId="21" borderId="0" xfId="0" applyNumberFormat="1" applyFont="1" applyFill="1" applyAlignment="1">
      <alignment wrapText="1"/>
    </xf>
    <xf numFmtId="0" fontId="21" fillId="22" borderId="0" xfId="0" applyFont="1" applyFill="1"/>
    <xf numFmtId="0" fontId="21" fillId="23" borderId="0" xfId="0" applyFont="1" applyFill="1"/>
    <xf numFmtId="0" fontId="24" fillId="23" borderId="0" xfId="0" applyFont="1" applyFill="1" applyAlignment="1">
      <alignment wrapText="1"/>
    </xf>
    <xf numFmtId="0" fontId="25" fillId="23" borderId="0" xfId="0" applyFont="1" applyFill="1" applyAlignment="1">
      <alignment wrapText="1"/>
    </xf>
    <xf numFmtId="16" fontId="25" fillId="23" borderId="0" xfId="0" applyNumberFormat="1" applyFont="1" applyFill="1" applyAlignment="1">
      <alignment wrapText="1"/>
    </xf>
    <xf numFmtId="0" fontId="21" fillId="24" borderId="0" xfId="0" applyFont="1" applyFill="1"/>
    <xf numFmtId="0" fontId="21" fillId="25" borderId="0" xfId="0" applyFont="1" applyFill="1"/>
    <xf numFmtId="0" fontId="26" fillId="25" borderId="0" xfId="0" applyFont="1" applyFill="1" applyAlignment="1">
      <alignment wrapText="1"/>
    </xf>
    <xf numFmtId="0" fontId="27" fillId="25" borderId="0" xfId="0" applyFont="1" applyFill="1" applyAlignment="1">
      <alignment wrapText="1"/>
    </xf>
    <xf numFmtId="16" fontId="27" fillId="25" borderId="0" xfId="0" applyNumberFormat="1" applyFont="1" applyFill="1" applyAlignment="1">
      <alignment wrapText="1"/>
    </xf>
    <xf numFmtId="0" fontId="21" fillId="26" borderId="0" xfId="0" applyFont="1" applyFill="1"/>
    <xf numFmtId="0" fontId="19" fillId="0" borderId="0" xfId="0" applyFont="1"/>
    <xf numFmtId="0" fontId="28" fillId="20" borderId="7" xfId="0" applyFont="1" applyFill="1" applyBorder="1" applyAlignment="1">
      <alignment wrapText="1"/>
    </xf>
    <xf numFmtId="0" fontId="28" fillId="22" borderId="8" xfId="0" applyFont="1" applyFill="1" applyBorder="1" applyAlignment="1">
      <alignment wrapText="1"/>
    </xf>
    <xf numFmtId="0" fontId="28" fillId="24" borderId="8" xfId="0" applyFont="1" applyFill="1" applyBorder="1" applyAlignment="1">
      <alignment wrapText="1"/>
    </xf>
    <xf numFmtId="0" fontId="28" fillId="26" borderId="8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top" wrapText="1"/>
    </xf>
    <xf numFmtId="0" fontId="30" fillId="0" borderId="0" xfId="0" applyFont="1"/>
    <xf numFmtId="0" fontId="32" fillId="13" borderId="0" xfId="0" applyFont="1" applyFill="1" applyAlignment="1">
      <alignment horizontal="center" vertical="center" wrapText="1"/>
    </xf>
    <xf numFmtId="0" fontId="33" fillId="13" borderId="0" xfId="0" applyFont="1" applyFill="1" applyAlignment="1">
      <alignment horizontal="center" vertical="center" wrapText="1"/>
    </xf>
    <xf numFmtId="1" fontId="33" fillId="13" borderId="0" xfId="0" applyNumberFormat="1" applyFont="1" applyFill="1" applyAlignment="1">
      <alignment horizontal="center" vertical="center" wrapText="1"/>
    </xf>
    <xf numFmtId="166" fontId="33" fillId="13" borderId="0" xfId="0" applyNumberFormat="1" applyFont="1" applyFill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31" fillId="15" borderId="7" xfId="0" applyFont="1" applyFill="1" applyBorder="1" applyAlignment="1">
      <alignment horizontal="left" vertical="center" wrapText="1"/>
    </xf>
    <xf numFmtId="1" fontId="31" fillId="0" borderId="7" xfId="0" applyNumberFormat="1" applyFont="1" applyBorder="1" applyAlignment="1">
      <alignment horizontal="center" vertical="center" wrapText="1"/>
    </xf>
    <xf numFmtId="166" fontId="34" fillId="0" borderId="7" xfId="0" applyNumberFormat="1" applyFont="1" applyBorder="1" applyAlignment="1">
      <alignment horizontal="center" vertical="center" wrapText="1"/>
    </xf>
    <xf numFmtId="0" fontId="31" fillId="16" borderId="7" xfId="0" applyFont="1" applyFill="1" applyBorder="1" applyAlignment="1">
      <alignment horizontal="left" vertical="center" wrapText="1"/>
    </xf>
    <xf numFmtId="0" fontId="31" fillId="17" borderId="7" xfId="0" applyFont="1" applyFill="1" applyBorder="1" applyAlignment="1">
      <alignment horizontal="left" vertical="center" wrapText="1"/>
    </xf>
    <xf numFmtId="0" fontId="31" fillId="27" borderId="7" xfId="0" applyFont="1" applyFill="1" applyBorder="1" applyAlignment="1">
      <alignment wrapText="1"/>
    </xf>
    <xf numFmtId="0" fontId="31" fillId="0" borderId="7" xfId="0" applyFont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left" vertical="center" wrapText="1"/>
    </xf>
    <xf numFmtId="1" fontId="29" fillId="12" borderId="7" xfId="0" applyNumberFormat="1" applyFont="1" applyFill="1" applyBorder="1" applyAlignment="1">
      <alignment horizontal="center" vertical="center" wrapText="1"/>
    </xf>
    <xf numFmtId="166" fontId="29" fillId="12" borderId="7" xfId="0" applyNumberFormat="1" applyFont="1" applyFill="1" applyBorder="1" applyAlignment="1">
      <alignment horizontal="center" vertical="center" wrapText="1"/>
    </xf>
    <xf numFmtId="0" fontId="29" fillId="12" borderId="0" xfId="0" applyFont="1" applyFill="1" applyAlignment="1">
      <alignment horizontal="left" vertical="center" indent="1"/>
    </xf>
    <xf numFmtId="0" fontId="31" fillId="0" borderId="0" xfId="0" applyFont="1" applyAlignment="1">
      <alignment horizontal="left"/>
    </xf>
    <xf numFmtId="0" fontId="31" fillId="0" borderId="0" xfId="0" applyFont="1"/>
    <xf numFmtId="0" fontId="2" fillId="0" borderId="2" xfId="0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top"/>
    </xf>
    <xf numFmtId="0" fontId="15" fillId="8" borderId="4" xfId="0" applyFont="1" applyFill="1" applyBorder="1" applyAlignment="1">
      <alignment horizontal="center" vertical="top"/>
    </xf>
    <xf numFmtId="0" fontId="15" fillId="8" borderId="5" xfId="0" applyFont="1" applyFill="1" applyBorder="1" applyAlignment="1">
      <alignment horizontal="center" vertical="top"/>
    </xf>
    <xf numFmtId="0" fontId="17" fillId="12" borderId="6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18" fillId="12" borderId="0" xfId="0" applyFont="1" applyFill="1"/>
    <xf numFmtId="17" fontId="22" fillId="18" borderId="0" xfId="0" applyNumberFormat="1" applyFont="1" applyFill="1" applyAlignment="1">
      <alignment horizontal="center" vertical="center" wrapText="1"/>
    </xf>
    <xf numFmtId="0" fontId="22" fillId="18" borderId="0" xfId="0" applyFont="1" applyFill="1" applyAlignment="1">
      <alignment horizontal="center" vertical="center" wrapText="1"/>
    </xf>
    <xf numFmtId="17" fontId="22" fillId="18" borderId="0" xfId="0" applyNumberFormat="1" applyFont="1" applyFill="1" applyAlignment="1">
      <alignment horizontal="center" wrapText="1"/>
    </xf>
    <xf numFmtId="0" fontId="22" fillId="18" borderId="0" xfId="0" applyFont="1" applyFill="1" applyAlignment="1">
      <alignment horizontal="center" wrapText="1"/>
    </xf>
    <xf numFmtId="0" fontId="12" fillId="0" borderId="2" xfId="0" applyFont="1" applyBorder="1" applyAlignment="1">
      <alignment vertical="center"/>
    </xf>
    <xf numFmtId="0" fontId="14" fillId="5" borderId="2" xfId="0" applyFont="1" applyFill="1" applyBorder="1" applyAlignment="1">
      <alignment horizontal="center" vertical="top"/>
    </xf>
    <xf numFmtId="0" fontId="13" fillId="6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top"/>
    </xf>
    <xf numFmtId="0" fontId="0" fillId="29" borderId="2" xfId="0" applyFill="1" applyBorder="1" applyAlignment="1">
      <alignment vertical="top"/>
    </xf>
    <xf numFmtId="0" fontId="0" fillId="30" borderId="2" xfId="0" applyFill="1" applyBorder="1" applyAlignment="1">
      <alignment vertical="top"/>
    </xf>
    <xf numFmtId="0" fontId="0" fillId="31" borderId="2" xfId="0" applyFill="1" applyBorder="1" applyAlignment="1">
      <alignment vertical="top"/>
    </xf>
    <xf numFmtId="0" fontId="13" fillId="32" borderId="2" xfId="0" applyFont="1" applyFill="1" applyBorder="1" applyAlignment="1">
      <alignment vertical="top" wrapText="1"/>
    </xf>
    <xf numFmtId="0" fontId="9" fillId="29" borderId="0" xfId="0" applyFont="1" applyFill="1" applyAlignment="1">
      <alignment horizontal="left" vertical="top" wrapText="1"/>
    </xf>
    <xf numFmtId="0" fontId="9" fillId="33" borderId="0" xfId="0" applyFont="1" applyFill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top" wrapText="1"/>
    </xf>
    <xf numFmtId="0" fontId="35" fillId="0" borderId="10" xfId="0" applyFont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6C44-5C67-5143-ADF6-DADF8B01A65A}">
  <dimension ref="B2:G16"/>
  <sheetViews>
    <sheetView zoomScaleNormal="100" workbookViewId="0">
      <selection activeCell="B20" sqref="B20"/>
    </sheetView>
  </sheetViews>
  <sheetFormatPr defaultColWidth="8.7109375" defaultRowHeight="21" x14ac:dyDescent="0.35"/>
  <cols>
    <col min="1" max="1" width="3" style="83" customWidth="1"/>
    <col min="2" max="2" width="27.42578125" style="83" bestFit="1" customWidth="1"/>
    <col min="3" max="3" width="13.7109375" style="83" bestFit="1" customWidth="1"/>
    <col min="4" max="4" width="13.42578125" style="83" bestFit="1" customWidth="1"/>
    <col min="5" max="6" width="12.140625" style="83" bestFit="1" customWidth="1"/>
    <col min="7" max="7" width="16" style="83" customWidth="1"/>
    <col min="8" max="8" width="3" style="83" customWidth="1"/>
    <col min="9" max="12" width="8.7109375" style="83"/>
    <col min="13" max="13" width="143.28515625" style="83" bestFit="1" customWidth="1"/>
    <col min="14" max="16384" width="8.7109375" style="83"/>
  </cols>
  <sheetData>
    <row r="2" spans="2:7" x14ac:dyDescent="0.35">
      <c r="B2" s="99" t="s">
        <v>0</v>
      </c>
      <c r="C2" s="99"/>
      <c r="D2" s="99"/>
      <c r="E2" s="99"/>
      <c r="F2" s="99"/>
      <c r="G2" s="99"/>
    </row>
    <row r="4" spans="2:7" ht="15" customHeight="1" x14ac:dyDescent="0.35">
      <c r="B4" s="100" t="s">
        <v>1</v>
      </c>
      <c r="C4" s="100"/>
      <c r="D4" s="100"/>
      <c r="E4" s="100"/>
      <c r="F4" s="100"/>
      <c r="G4" s="100"/>
    </row>
    <row r="6" spans="2:7" ht="63" x14ac:dyDescent="0.35">
      <c r="B6" s="84" t="s">
        <v>2</v>
      </c>
      <c r="C6" s="84" t="s">
        <v>3</v>
      </c>
      <c r="D6" s="84" t="s">
        <v>4</v>
      </c>
      <c r="E6" s="84" t="s">
        <v>5</v>
      </c>
      <c r="F6" s="84" t="s">
        <v>6</v>
      </c>
    </row>
    <row r="7" spans="2:7" ht="42" x14ac:dyDescent="0.35">
      <c r="B7" s="85">
        <v>3</v>
      </c>
      <c r="C7" s="85">
        <v>21</v>
      </c>
      <c r="D7" s="86">
        <f>C16</f>
        <v>1176</v>
      </c>
      <c r="E7" s="87" t="s">
        <v>7</v>
      </c>
      <c r="F7" s="87" t="s">
        <v>8</v>
      </c>
    </row>
    <row r="10" spans="2:7" ht="15" customHeight="1" x14ac:dyDescent="0.35">
      <c r="B10" s="101" t="s">
        <v>9</v>
      </c>
      <c r="C10" s="101"/>
      <c r="D10" s="101"/>
      <c r="E10" s="101"/>
      <c r="F10" s="101"/>
      <c r="G10" s="101"/>
    </row>
    <row r="11" spans="2:7" ht="42" x14ac:dyDescent="0.35">
      <c r="B11" s="88" t="s">
        <v>10</v>
      </c>
      <c r="C11" s="88" t="s">
        <v>11</v>
      </c>
      <c r="D11" s="88" t="s">
        <v>12</v>
      </c>
      <c r="E11" s="88" t="s">
        <v>13</v>
      </c>
    </row>
    <row r="12" spans="2:7" ht="42" x14ac:dyDescent="0.35">
      <c r="B12" s="89" t="s">
        <v>14</v>
      </c>
      <c r="C12" s="90">
        <f>MVP!E2</f>
        <v>152</v>
      </c>
      <c r="D12" s="91" t="s">
        <v>7</v>
      </c>
      <c r="E12" s="91" t="s">
        <v>15</v>
      </c>
    </row>
    <row r="13" spans="2:7" ht="42" x14ac:dyDescent="0.35">
      <c r="B13" s="92" t="s">
        <v>16</v>
      </c>
      <c r="C13" s="90">
        <f>MVP!E10</f>
        <v>780</v>
      </c>
      <c r="D13" s="91" t="s">
        <v>7</v>
      </c>
      <c r="E13" s="91" t="s">
        <v>17</v>
      </c>
    </row>
    <row r="14" spans="2:7" ht="42" x14ac:dyDescent="0.35">
      <c r="B14" s="93" t="s">
        <v>18</v>
      </c>
      <c r="C14" s="90">
        <f>MVP!E19</f>
        <v>244</v>
      </c>
      <c r="D14" s="91" t="s">
        <v>19</v>
      </c>
      <c r="E14" s="91" t="s">
        <v>20</v>
      </c>
    </row>
    <row r="15" spans="2:7" ht="63" x14ac:dyDescent="0.35">
      <c r="B15" s="94" t="s">
        <v>21</v>
      </c>
      <c r="C15" s="95"/>
      <c r="D15" s="91" t="s">
        <v>17</v>
      </c>
      <c r="E15" s="91" t="s">
        <v>8</v>
      </c>
    </row>
    <row r="16" spans="2:7" ht="42" x14ac:dyDescent="0.35">
      <c r="B16" s="96" t="s">
        <v>22</v>
      </c>
      <c r="C16" s="97">
        <f>SUM(C12:C15)</f>
        <v>1176</v>
      </c>
      <c r="D16" s="98" t="s">
        <v>7</v>
      </c>
      <c r="E16" s="98" t="s">
        <v>8</v>
      </c>
    </row>
  </sheetData>
  <mergeCells count="3">
    <mergeCell ref="B2:G2"/>
    <mergeCell ref="B4:G4"/>
    <mergeCell ref="B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9.140625" defaultRowHeight="15" x14ac:dyDescent="0.25"/>
  <cols>
    <col min="1" max="1" width="6" style="12" bestFit="1" customWidth="1"/>
    <col min="2" max="2" width="12.28515625" style="12" bestFit="1" customWidth="1"/>
    <col min="3" max="3" width="18" style="30" customWidth="1"/>
    <col min="4" max="4" width="118.42578125" style="12" customWidth="1"/>
    <col min="5" max="5" width="14.140625" style="12" customWidth="1"/>
    <col min="6" max="6" width="18.28515625" style="12" bestFit="1" customWidth="1"/>
    <col min="7" max="7" width="17.42578125" style="12" bestFit="1" customWidth="1"/>
    <col min="8" max="16384" width="9.140625" style="12"/>
  </cols>
  <sheetData>
    <row r="1" spans="1:7" s="33" customFormat="1" ht="28.5" x14ac:dyDescent="0.25">
      <c r="A1" s="31" t="s">
        <v>23</v>
      </c>
      <c r="B1" s="31" t="s">
        <v>10</v>
      </c>
      <c r="C1" s="31" t="s">
        <v>24</v>
      </c>
      <c r="D1" s="31" t="s">
        <v>25</v>
      </c>
      <c r="E1" s="31" t="s">
        <v>26</v>
      </c>
      <c r="F1" s="31" t="s">
        <v>27</v>
      </c>
      <c r="G1" s="32" t="s">
        <v>28</v>
      </c>
    </row>
    <row r="2" spans="1:7" x14ac:dyDescent="0.25">
      <c r="A2" s="103" t="s">
        <v>29</v>
      </c>
      <c r="B2" s="104"/>
      <c r="C2" s="104"/>
      <c r="D2" s="105"/>
      <c r="E2" s="35">
        <f>SUM(E3:E9)</f>
        <v>152</v>
      </c>
      <c r="F2" s="37">
        <f>MIN(F3:F9)</f>
        <v>46146</v>
      </c>
      <c r="G2" s="37">
        <f>MAX(G3:G9)</f>
        <v>46171</v>
      </c>
    </row>
    <row r="3" spans="1:7" ht="180" x14ac:dyDescent="0.25">
      <c r="A3" s="102">
        <v>1</v>
      </c>
      <c r="B3" s="102" t="s">
        <v>30</v>
      </c>
      <c r="C3" s="28" t="s">
        <v>31</v>
      </c>
      <c r="D3" s="23" t="s">
        <v>32</v>
      </c>
      <c r="E3" s="22">
        <v>20</v>
      </c>
      <c r="F3" s="36">
        <v>46146</v>
      </c>
      <c r="G3" s="36">
        <v>46147</v>
      </c>
    </row>
    <row r="4" spans="1:7" ht="105" x14ac:dyDescent="0.25">
      <c r="A4" s="102"/>
      <c r="B4" s="102"/>
      <c r="C4" s="40" t="s">
        <v>33</v>
      </c>
      <c r="D4" s="23" t="s">
        <v>34</v>
      </c>
      <c r="E4" s="22">
        <v>24</v>
      </c>
      <c r="F4" s="36">
        <v>46153</v>
      </c>
      <c r="G4" s="36">
        <v>46155</v>
      </c>
    </row>
    <row r="5" spans="1:7" ht="75" x14ac:dyDescent="0.25">
      <c r="A5" s="102"/>
      <c r="B5" s="102"/>
      <c r="C5" s="41" t="s">
        <v>35</v>
      </c>
      <c r="D5" s="23" t="s">
        <v>36</v>
      </c>
      <c r="E5" s="22">
        <v>32</v>
      </c>
      <c r="F5" s="36">
        <v>46160</v>
      </c>
      <c r="G5" s="36">
        <v>46163</v>
      </c>
    </row>
    <row r="6" spans="1:7" ht="75" x14ac:dyDescent="0.25">
      <c r="A6" s="102"/>
      <c r="B6" s="102"/>
      <c r="C6" s="42" t="s">
        <v>37</v>
      </c>
      <c r="D6" s="23" t="s">
        <v>38</v>
      </c>
      <c r="E6" s="22">
        <v>24</v>
      </c>
      <c r="F6" s="36">
        <v>46160</v>
      </c>
      <c r="G6" s="36">
        <v>46162</v>
      </c>
    </row>
    <row r="7" spans="1:7" ht="105" x14ac:dyDescent="0.25">
      <c r="A7" s="102"/>
      <c r="B7" s="102"/>
      <c r="C7" s="24" t="s">
        <v>39</v>
      </c>
      <c r="D7" s="23" t="s">
        <v>40</v>
      </c>
      <c r="E7" s="22">
        <v>16</v>
      </c>
      <c r="F7" s="36">
        <v>46163</v>
      </c>
      <c r="G7" s="36">
        <v>46164</v>
      </c>
    </row>
    <row r="8" spans="1:7" ht="75" x14ac:dyDescent="0.25">
      <c r="A8" s="102"/>
      <c r="B8" s="102"/>
      <c r="C8" s="24" t="s">
        <v>41</v>
      </c>
      <c r="D8" s="23" t="s">
        <v>42</v>
      </c>
      <c r="E8" s="22">
        <v>16</v>
      </c>
      <c r="F8" s="36">
        <v>46167</v>
      </c>
      <c r="G8" s="36">
        <v>46168</v>
      </c>
    </row>
    <row r="9" spans="1:7" ht="75" x14ac:dyDescent="0.25">
      <c r="A9" s="102"/>
      <c r="B9" s="102"/>
      <c r="C9" s="24" t="s">
        <v>43</v>
      </c>
      <c r="D9" s="23" t="s">
        <v>44</v>
      </c>
      <c r="E9" s="22">
        <v>20</v>
      </c>
      <c r="F9" s="36">
        <v>46169</v>
      </c>
      <c r="G9" s="36">
        <v>46171</v>
      </c>
    </row>
    <row r="10" spans="1:7" x14ac:dyDescent="0.25">
      <c r="A10" s="103" t="s">
        <v>45</v>
      </c>
      <c r="B10" s="104"/>
      <c r="C10" s="104"/>
      <c r="D10" s="105"/>
      <c r="E10" s="34">
        <f>SUM(E11:E18)</f>
        <v>780</v>
      </c>
      <c r="F10" s="37">
        <f>MIN(F11:F18)</f>
        <v>46146</v>
      </c>
      <c r="G10" s="37">
        <f>MAX(G11:G18)</f>
        <v>46185</v>
      </c>
    </row>
    <row r="11" spans="1:7" ht="300" x14ac:dyDescent="0.25">
      <c r="A11" s="102">
        <v>2</v>
      </c>
      <c r="B11" s="102" t="s">
        <v>46</v>
      </c>
      <c r="C11" s="39" t="s">
        <v>47</v>
      </c>
      <c r="D11" s="23" t="s">
        <v>48</v>
      </c>
      <c r="E11" s="22">
        <v>100</v>
      </c>
      <c r="F11" s="36">
        <v>46146</v>
      </c>
      <c r="G11" s="36">
        <v>46162</v>
      </c>
    </row>
    <row r="12" spans="1:7" ht="300" x14ac:dyDescent="0.25">
      <c r="A12" s="102"/>
      <c r="B12" s="102"/>
      <c r="C12" s="43" t="s">
        <v>49</v>
      </c>
      <c r="D12" s="23" t="s">
        <v>50</v>
      </c>
      <c r="E12" s="22">
        <v>120</v>
      </c>
      <c r="F12" s="36">
        <v>46146</v>
      </c>
      <c r="G12" s="36">
        <v>46164</v>
      </c>
    </row>
    <row r="13" spans="1:7" ht="300" x14ac:dyDescent="0.25">
      <c r="A13" s="102"/>
      <c r="B13" s="102"/>
      <c r="C13" s="44" t="s">
        <v>51</v>
      </c>
      <c r="D13" s="23" t="s">
        <v>52</v>
      </c>
      <c r="E13" s="22">
        <v>120</v>
      </c>
      <c r="F13" s="36">
        <v>46146</v>
      </c>
      <c r="G13" s="36">
        <v>46164</v>
      </c>
    </row>
    <row r="14" spans="1:7" ht="240" x14ac:dyDescent="0.25">
      <c r="A14" s="102"/>
      <c r="B14" s="102"/>
      <c r="C14" s="27" t="s">
        <v>53</v>
      </c>
      <c r="D14" s="23" t="s">
        <v>54</v>
      </c>
      <c r="E14" s="22">
        <v>80</v>
      </c>
      <c r="F14" s="36">
        <v>46153</v>
      </c>
      <c r="G14" s="36">
        <v>46164</v>
      </c>
    </row>
    <row r="15" spans="1:7" ht="300" x14ac:dyDescent="0.25">
      <c r="A15" s="102"/>
      <c r="B15" s="102"/>
      <c r="C15" s="27" t="s">
        <v>55</v>
      </c>
      <c r="D15" s="23" t="s">
        <v>56</v>
      </c>
      <c r="E15" s="22">
        <v>60</v>
      </c>
      <c r="F15" s="36">
        <v>46164</v>
      </c>
      <c r="G15" s="36">
        <v>46175</v>
      </c>
    </row>
    <row r="16" spans="1:7" ht="120" x14ac:dyDescent="0.25">
      <c r="A16" s="102"/>
      <c r="B16" s="102"/>
      <c r="C16" s="27" t="s">
        <v>57</v>
      </c>
      <c r="D16" s="23" t="s">
        <v>58</v>
      </c>
      <c r="E16" s="22">
        <v>100</v>
      </c>
      <c r="F16" s="36">
        <v>46164</v>
      </c>
      <c r="G16" s="36">
        <v>46182</v>
      </c>
    </row>
    <row r="17" spans="1:7" ht="195" x14ac:dyDescent="0.25">
      <c r="A17" s="102"/>
      <c r="B17" s="102"/>
      <c r="C17" s="27" t="s">
        <v>59</v>
      </c>
      <c r="D17" s="23" t="s">
        <v>60</v>
      </c>
      <c r="E17" s="22">
        <v>120</v>
      </c>
      <c r="F17" s="36">
        <v>46164</v>
      </c>
      <c r="G17" s="36">
        <v>46184</v>
      </c>
    </row>
    <row r="18" spans="1:7" ht="255" x14ac:dyDescent="0.25">
      <c r="A18" s="102"/>
      <c r="B18" s="102"/>
      <c r="C18" s="27" t="s">
        <v>61</v>
      </c>
      <c r="D18" s="23" t="s">
        <v>62</v>
      </c>
      <c r="E18" s="22">
        <v>80</v>
      </c>
      <c r="F18" s="36">
        <v>46174</v>
      </c>
      <c r="G18" s="36">
        <v>46185</v>
      </c>
    </row>
    <row r="19" spans="1:7" x14ac:dyDescent="0.25">
      <c r="A19" s="103" t="s">
        <v>63</v>
      </c>
      <c r="B19" s="104"/>
      <c r="C19" s="104"/>
      <c r="D19" s="105"/>
      <c r="E19" s="34">
        <f>SUM(E20:E26)</f>
        <v>244</v>
      </c>
      <c r="F19" s="38">
        <f>MIN(F20:F26)</f>
        <v>46160</v>
      </c>
      <c r="G19" s="38">
        <f>MAX(G20:G26)</f>
        <v>46191</v>
      </c>
    </row>
    <row r="20" spans="1:7" ht="120" x14ac:dyDescent="0.25">
      <c r="A20" s="107">
        <v>3</v>
      </c>
      <c r="B20" s="107" t="s">
        <v>64</v>
      </c>
      <c r="C20" s="29" t="s">
        <v>65</v>
      </c>
      <c r="D20" s="23" t="s">
        <v>66</v>
      </c>
      <c r="E20" s="22">
        <v>36</v>
      </c>
      <c r="F20" s="36">
        <v>46160</v>
      </c>
      <c r="G20" s="36">
        <v>46164</v>
      </c>
    </row>
    <row r="21" spans="1:7" ht="105" x14ac:dyDescent="0.25">
      <c r="A21" s="108"/>
      <c r="B21" s="108"/>
      <c r="C21" s="29" t="s">
        <v>67</v>
      </c>
      <c r="D21" s="23" t="s">
        <v>68</v>
      </c>
      <c r="E21" s="22">
        <v>12</v>
      </c>
      <c r="F21" s="36">
        <v>46163</v>
      </c>
      <c r="G21" s="36">
        <v>46164</v>
      </c>
    </row>
    <row r="22" spans="1:7" ht="75" x14ac:dyDescent="0.25">
      <c r="A22" s="108"/>
      <c r="B22" s="108"/>
      <c r="C22" s="29" t="s">
        <v>69</v>
      </c>
      <c r="D22" s="23" t="s">
        <v>70</v>
      </c>
      <c r="E22" s="22">
        <v>16</v>
      </c>
      <c r="F22" s="36">
        <v>46167</v>
      </c>
      <c r="G22" s="36">
        <v>46168</v>
      </c>
    </row>
    <row r="23" spans="1:7" ht="135" x14ac:dyDescent="0.25">
      <c r="A23" s="108"/>
      <c r="B23" s="108"/>
      <c r="C23" s="29" t="s">
        <v>71</v>
      </c>
      <c r="D23" s="23" t="s">
        <v>72</v>
      </c>
      <c r="E23" s="22">
        <v>36</v>
      </c>
      <c r="F23" s="36">
        <v>46169</v>
      </c>
      <c r="G23" s="36">
        <v>46175</v>
      </c>
    </row>
    <row r="24" spans="1:7" ht="120" x14ac:dyDescent="0.25">
      <c r="A24" s="108"/>
      <c r="B24" s="108"/>
      <c r="C24" s="28" t="s">
        <v>73</v>
      </c>
      <c r="D24" s="23" t="s">
        <v>74</v>
      </c>
      <c r="E24" s="22">
        <v>52</v>
      </c>
      <c r="F24" s="36">
        <v>46175</v>
      </c>
      <c r="G24" s="36">
        <v>46182</v>
      </c>
    </row>
    <row r="25" spans="1:7" ht="90" x14ac:dyDescent="0.25">
      <c r="A25" s="108"/>
      <c r="B25" s="108"/>
      <c r="C25" s="28" t="s">
        <v>75</v>
      </c>
      <c r="D25" s="23" t="s">
        <v>76</v>
      </c>
      <c r="E25" s="22">
        <v>52</v>
      </c>
      <c r="F25" s="36">
        <v>46183</v>
      </c>
      <c r="G25" s="36">
        <v>46188</v>
      </c>
    </row>
    <row r="26" spans="1:7" ht="30" x14ac:dyDescent="0.25">
      <c r="A26" s="109"/>
      <c r="B26" s="109"/>
      <c r="C26" s="28" t="s">
        <v>77</v>
      </c>
      <c r="D26" s="23" t="s">
        <v>78</v>
      </c>
      <c r="E26" s="22">
        <v>40</v>
      </c>
      <c r="F26" s="36">
        <v>46189</v>
      </c>
      <c r="G26" s="36">
        <v>46191</v>
      </c>
    </row>
    <row r="27" spans="1:7" x14ac:dyDescent="0.25">
      <c r="C27" s="106" t="s">
        <v>79</v>
      </c>
      <c r="D27" s="106"/>
      <c r="E27" s="46">
        <f>SUM(E2, E10, E19)</f>
        <v>1176</v>
      </c>
      <c r="F27" s="45">
        <v>46146</v>
      </c>
      <c r="G27" s="45">
        <v>46191</v>
      </c>
    </row>
  </sheetData>
  <mergeCells count="10">
    <mergeCell ref="C27:D27"/>
    <mergeCell ref="B20:B26"/>
    <mergeCell ref="A20:A26"/>
    <mergeCell ref="B11:B18"/>
    <mergeCell ref="A11:A18"/>
    <mergeCell ref="B3:B9"/>
    <mergeCell ref="A3:A9"/>
    <mergeCell ref="A2:D2"/>
    <mergeCell ref="A10:D10"/>
    <mergeCell ref="A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9A10-03F7-4AB0-8F02-D25DB8FA27C1}">
  <dimension ref="A1:BL36"/>
  <sheetViews>
    <sheetView workbookViewId="0">
      <pane xSplit="6" ySplit="3" topLeftCell="G4" activePane="bottomRight" state="frozen"/>
      <selection pane="topRight"/>
      <selection pane="bottomLeft"/>
      <selection pane="bottomRight" activeCell="P22" sqref="P22"/>
    </sheetView>
  </sheetViews>
  <sheetFormatPr defaultColWidth="8.85546875" defaultRowHeight="15" x14ac:dyDescent="0.25"/>
  <cols>
    <col min="1" max="1" width="2.7109375" customWidth="1"/>
    <col min="2" max="2" width="39.85546875" bestFit="1" customWidth="1"/>
    <col min="3" max="6" width="11.28515625" customWidth="1"/>
    <col min="7" max="67" width="4.7109375" customWidth="1"/>
  </cols>
  <sheetData>
    <row r="1" spans="1:64" ht="21" x14ac:dyDescent="0.35">
      <c r="A1" s="111" t="s">
        <v>80</v>
      </c>
      <c r="B1" s="111"/>
      <c r="C1" s="111"/>
      <c r="D1" s="111"/>
      <c r="E1" s="111"/>
      <c r="F1" s="111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</row>
    <row r="2" spans="1:64" x14ac:dyDescent="0.25">
      <c r="A2" s="47"/>
      <c r="B2" s="47"/>
      <c r="C2" s="47"/>
      <c r="D2" s="47"/>
      <c r="E2" s="47"/>
      <c r="F2" s="47"/>
      <c r="G2" s="112">
        <v>46143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4">
        <v>46174</v>
      </c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</row>
    <row r="3" spans="1:64" x14ac:dyDescent="0.25">
      <c r="A3" s="48" t="s">
        <v>81</v>
      </c>
      <c r="B3" s="49" t="s">
        <v>82</v>
      </c>
      <c r="C3" s="49" t="s">
        <v>12</v>
      </c>
      <c r="D3" s="49" t="s">
        <v>13</v>
      </c>
      <c r="E3" s="49" t="s">
        <v>83</v>
      </c>
      <c r="F3" s="49" t="s">
        <v>84</v>
      </c>
      <c r="G3" s="50">
        <v>4</v>
      </c>
      <c r="H3" s="50">
        <v>5</v>
      </c>
      <c r="I3" s="50">
        <v>6</v>
      </c>
      <c r="J3" s="50">
        <v>7</v>
      </c>
      <c r="K3" s="50">
        <v>8</v>
      </c>
      <c r="L3" s="51">
        <v>9</v>
      </c>
      <c r="M3" s="51">
        <v>10</v>
      </c>
      <c r="N3" s="50">
        <v>11</v>
      </c>
      <c r="O3" s="50">
        <v>12</v>
      </c>
      <c r="P3" s="50">
        <v>13</v>
      </c>
      <c r="Q3" s="50">
        <v>14</v>
      </c>
      <c r="R3" s="50">
        <v>15</v>
      </c>
      <c r="S3" s="51">
        <v>16</v>
      </c>
      <c r="T3" s="51">
        <v>17</v>
      </c>
      <c r="U3" s="50">
        <v>18</v>
      </c>
      <c r="V3" s="50">
        <v>19</v>
      </c>
      <c r="W3" s="50">
        <v>20</v>
      </c>
      <c r="X3" s="50">
        <v>21</v>
      </c>
      <c r="Y3" s="50">
        <v>22</v>
      </c>
      <c r="Z3" s="51">
        <v>23</v>
      </c>
      <c r="AA3" s="51">
        <v>24</v>
      </c>
      <c r="AB3" s="50">
        <v>25</v>
      </c>
      <c r="AC3" s="50">
        <v>26</v>
      </c>
      <c r="AD3" s="50">
        <v>27</v>
      </c>
      <c r="AE3" s="50">
        <v>28</v>
      </c>
      <c r="AF3" s="50">
        <v>29</v>
      </c>
      <c r="AG3" s="51">
        <v>30</v>
      </c>
      <c r="AH3" s="51">
        <v>31</v>
      </c>
      <c r="AI3" s="50">
        <v>1</v>
      </c>
      <c r="AJ3" s="50">
        <v>2</v>
      </c>
      <c r="AK3" s="50">
        <v>3</v>
      </c>
      <c r="AL3" s="50">
        <v>4</v>
      </c>
      <c r="AM3" s="50">
        <v>5</v>
      </c>
      <c r="AN3" s="51">
        <v>6</v>
      </c>
      <c r="AO3" s="51">
        <v>7</v>
      </c>
      <c r="AP3" s="50">
        <v>8</v>
      </c>
      <c r="AQ3" s="50">
        <v>9</v>
      </c>
      <c r="AR3" s="50">
        <v>10</v>
      </c>
      <c r="AS3" s="50">
        <v>11</v>
      </c>
      <c r="AT3" s="50">
        <v>12</v>
      </c>
      <c r="AU3" s="51">
        <v>13</v>
      </c>
      <c r="AV3" s="51">
        <v>14</v>
      </c>
      <c r="AW3" s="50">
        <v>15</v>
      </c>
      <c r="AX3" s="50">
        <v>16</v>
      </c>
      <c r="AY3" s="50">
        <v>17</v>
      </c>
      <c r="AZ3" s="50">
        <v>18</v>
      </c>
      <c r="BA3" s="50">
        <v>19</v>
      </c>
      <c r="BB3" s="51">
        <v>20</v>
      </c>
      <c r="BC3" s="51">
        <v>21</v>
      </c>
      <c r="BD3" s="50">
        <v>22</v>
      </c>
      <c r="BE3" s="50">
        <v>23</v>
      </c>
      <c r="BF3" s="50">
        <v>24</v>
      </c>
      <c r="BG3" s="50">
        <v>25</v>
      </c>
      <c r="BH3" s="50">
        <v>26</v>
      </c>
      <c r="BI3" s="51">
        <v>27</v>
      </c>
      <c r="BJ3" s="51">
        <v>28</v>
      </c>
      <c r="BK3" s="50">
        <v>29</v>
      </c>
      <c r="BL3" s="50">
        <v>30</v>
      </c>
    </row>
    <row r="4" spans="1:64" x14ac:dyDescent="0.25">
      <c r="A4" s="52" t="s">
        <v>81</v>
      </c>
      <c r="B4" s="53" t="s">
        <v>14</v>
      </c>
      <c r="C4" s="55">
        <v>46146</v>
      </c>
      <c r="D4" s="55">
        <v>46171</v>
      </c>
      <c r="E4" s="54">
        <v>26</v>
      </c>
      <c r="F4" s="54">
        <v>152</v>
      </c>
      <c r="G4" s="56" t="s">
        <v>81</v>
      </c>
      <c r="H4" s="56" t="s">
        <v>81</v>
      </c>
      <c r="I4" s="56" t="s">
        <v>81</v>
      </c>
      <c r="J4" s="56" t="s">
        <v>81</v>
      </c>
      <c r="K4" s="56" t="s">
        <v>81</v>
      </c>
      <c r="L4" s="56" t="s">
        <v>81</v>
      </c>
      <c r="M4" s="56" t="s">
        <v>81</v>
      </c>
      <c r="N4" s="56" t="s">
        <v>81</v>
      </c>
      <c r="O4" s="56" t="s">
        <v>81</v>
      </c>
      <c r="P4" s="56" t="s">
        <v>81</v>
      </c>
      <c r="Q4" s="56" t="s">
        <v>81</v>
      </c>
      <c r="R4" s="56" t="s">
        <v>81</v>
      </c>
      <c r="S4" s="56" t="s">
        <v>81</v>
      </c>
      <c r="T4" s="56" t="s">
        <v>81</v>
      </c>
      <c r="U4" s="56" t="s">
        <v>81</v>
      </c>
      <c r="V4" s="56" t="s">
        <v>81</v>
      </c>
      <c r="W4" s="56" t="s">
        <v>81</v>
      </c>
      <c r="X4" s="56" t="s">
        <v>81</v>
      </c>
      <c r="Y4" s="56" t="s">
        <v>81</v>
      </c>
      <c r="Z4" s="56" t="s">
        <v>81</v>
      </c>
      <c r="AA4" s="56" t="s">
        <v>81</v>
      </c>
      <c r="AB4" s="56" t="s">
        <v>81</v>
      </c>
      <c r="AC4" s="56" t="s">
        <v>81</v>
      </c>
      <c r="AD4" s="56" t="s">
        <v>81</v>
      </c>
      <c r="AE4" s="56" t="s">
        <v>81</v>
      </c>
      <c r="AF4" s="56" t="s">
        <v>81</v>
      </c>
      <c r="AG4" s="57" t="s">
        <v>81</v>
      </c>
      <c r="AH4" s="57" t="s">
        <v>81</v>
      </c>
      <c r="AI4" s="47"/>
      <c r="AJ4" s="47"/>
      <c r="AK4" s="47"/>
      <c r="AL4" s="47"/>
      <c r="AM4" s="47"/>
      <c r="AN4" s="57" t="s">
        <v>81</v>
      </c>
      <c r="AO4" s="57" t="s">
        <v>81</v>
      </c>
      <c r="AP4" s="47"/>
      <c r="AQ4" s="47"/>
      <c r="AR4" s="47"/>
      <c r="AS4" s="47"/>
      <c r="AT4" s="47"/>
      <c r="AU4" s="57" t="s">
        <v>81</v>
      </c>
      <c r="AV4" s="57" t="s">
        <v>81</v>
      </c>
      <c r="AW4" s="47"/>
      <c r="AX4" s="47"/>
      <c r="AY4" s="47"/>
      <c r="AZ4" s="47"/>
      <c r="BA4" s="47"/>
      <c r="BB4" s="57" t="s">
        <v>81</v>
      </c>
      <c r="BC4" s="57" t="s">
        <v>81</v>
      </c>
      <c r="BD4" s="47"/>
      <c r="BE4" s="47"/>
      <c r="BF4" s="47"/>
      <c r="BG4" s="47"/>
      <c r="BH4" s="47"/>
      <c r="BI4" s="57" t="s">
        <v>81</v>
      </c>
      <c r="BJ4" s="57" t="s">
        <v>81</v>
      </c>
      <c r="BK4" s="47"/>
      <c r="BL4" s="47"/>
    </row>
    <row r="5" spans="1:64" x14ac:dyDescent="0.25">
      <c r="A5" s="52" t="s">
        <v>81</v>
      </c>
      <c r="B5" s="58" t="s">
        <v>85</v>
      </c>
      <c r="C5" s="59">
        <v>46146</v>
      </c>
      <c r="D5" s="59">
        <v>46147</v>
      </c>
      <c r="E5" s="58">
        <v>3</v>
      </c>
      <c r="F5" s="58">
        <v>20</v>
      </c>
      <c r="G5" s="56" t="s">
        <v>81</v>
      </c>
      <c r="H5" s="56" t="s">
        <v>81</v>
      </c>
      <c r="I5" s="47"/>
      <c r="J5" s="47"/>
      <c r="K5" s="47"/>
      <c r="L5" s="57" t="s">
        <v>81</v>
      </c>
      <c r="M5" s="57" t="s">
        <v>81</v>
      </c>
      <c r="N5" s="47"/>
      <c r="O5" s="47"/>
      <c r="P5" s="47"/>
      <c r="Q5" s="47"/>
      <c r="R5" s="47"/>
      <c r="S5" s="57" t="s">
        <v>81</v>
      </c>
      <c r="T5" s="57" t="s">
        <v>81</v>
      </c>
      <c r="U5" s="47"/>
      <c r="V5" s="47"/>
      <c r="W5" s="47"/>
      <c r="X5" s="47"/>
      <c r="Y5" s="47"/>
      <c r="Z5" s="57" t="s">
        <v>81</v>
      </c>
      <c r="AA5" s="57" t="s">
        <v>81</v>
      </c>
      <c r="AB5" s="47"/>
      <c r="AC5" s="47"/>
      <c r="AD5" s="47"/>
      <c r="AE5" s="47"/>
      <c r="AF5" s="47"/>
      <c r="AG5" s="57" t="s">
        <v>81</v>
      </c>
      <c r="AH5" s="57" t="s">
        <v>81</v>
      </c>
      <c r="AI5" s="47"/>
      <c r="AJ5" s="47"/>
      <c r="AK5" s="47"/>
      <c r="AL5" s="47"/>
      <c r="AM5" s="47"/>
      <c r="AN5" s="57" t="s">
        <v>81</v>
      </c>
      <c r="AO5" s="57" t="s">
        <v>81</v>
      </c>
      <c r="AP5" s="47"/>
      <c r="AQ5" s="47"/>
      <c r="AR5" s="47"/>
      <c r="AS5" s="47"/>
      <c r="AT5" s="47"/>
      <c r="AU5" s="57" t="s">
        <v>81</v>
      </c>
      <c r="AV5" s="57" t="s">
        <v>81</v>
      </c>
      <c r="AW5" s="47"/>
      <c r="AX5" s="47"/>
      <c r="AY5" s="47"/>
      <c r="AZ5" s="47"/>
      <c r="BA5" s="47"/>
      <c r="BB5" s="57" t="s">
        <v>81</v>
      </c>
      <c r="BC5" s="57" t="s">
        <v>81</v>
      </c>
      <c r="BD5" s="47"/>
      <c r="BE5" s="47"/>
      <c r="BF5" s="47"/>
      <c r="BG5" s="47"/>
      <c r="BH5" s="47"/>
      <c r="BI5" s="57" t="s">
        <v>81</v>
      </c>
      <c r="BJ5" s="57" t="s">
        <v>81</v>
      </c>
      <c r="BK5" s="47"/>
      <c r="BL5" s="47"/>
    </row>
    <row r="6" spans="1:64" x14ac:dyDescent="0.25">
      <c r="A6" s="52" t="s">
        <v>81</v>
      </c>
      <c r="B6" s="58" t="s">
        <v>86</v>
      </c>
      <c r="C6" s="59">
        <v>46153</v>
      </c>
      <c r="D6" s="59">
        <v>46155</v>
      </c>
      <c r="E6" s="58">
        <v>3</v>
      </c>
      <c r="F6" s="58">
        <v>24</v>
      </c>
      <c r="G6" s="47"/>
      <c r="H6" s="47"/>
      <c r="I6" s="47"/>
      <c r="J6" s="47"/>
      <c r="K6" s="47"/>
      <c r="L6" s="57" t="s">
        <v>81</v>
      </c>
      <c r="M6" s="57" t="s">
        <v>81</v>
      </c>
      <c r="N6" s="56" t="s">
        <v>81</v>
      </c>
      <c r="O6" s="56" t="s">
        <v>81</v>
      </c>
      <c r="P6" s="56" t="s">
        <v>81</v>
      </c>
      <c r="Q6" s="47"/>
      <c r="R6" s="47"/>
      <c r="S6" s="57" t="s">
        <v>81</v>
      </c>
      <c r="T6" s="57" t="s">
        <v>81</v>
      </c>
      <c r="U6" s="47"/>
      <c r="V6" s="47"/>
      <c r="W6" s="47"/>
      <c r="X6" s="47"/>
      <c r="Y6" s="47"/>
      <c r="Z6" s="57" t="s">
        <v>81</v>
      </c>
      <c r="AA6" s="57" t="s">
        <v>81</v>
      </c>
      <c r="AB6" s="47"/>
      <c r="AC6" s="47"/>
      <c r="AD6" s="47"/>
      <c r="AE6" s="47"/>
      <c r="AF6" s="47"/>
      <c r="AG6" s="57" t="s">
        <v>81</v>
      </c>
      <c r="AH6" s="57" t="s">
        <v>81</v>
      </c>
      <c r="AI6" s="47"/>
      <c r="AJ6" s="47"/>
      <c r="AK6" s="47"/>
      <c r="AL6" s="47"/>
      <c r="AM6" s="47"/>
      <c r="AN6" s="57" t="s">
        <v>81</v>
      </c>
      <c r="AO6" s="57" t="s">
        <v>81</v>
      </c>
      <c r="AP6" s="47"/>
      <c r="AQ6" s="47"/>
      <c r="AR6" s="47"/>
      <c r="AS6" s="47"/>
      <c r="AT6" s="47"/>
      <c r="AU6" s="57" t="s">
        <v>81</v>
      </c>
      <c r="AV6" s="57" t="s">
        <v>81</v>
      </c>
      <c r="AW6" s="47"/>
      <c r="AX6" s="47"/>
      <c r="AY6" s="47"/>
      <c r="AZ6" s="47"/>
      <c r="BA6" s="47"/>
      <c r="BB6" s="57" t="s">
        <v>81</v>
      </c>
      <c r="BC6" s="57" t="s">
        <v>81</v>
      </c>
      <c r="BD6" s="47"/>
      <c r="BE6" s="47"/>
      <c r="BF6" s="47"/>
      <c r="BG6" s="47"/>
      <c r="BH6" s="47"/>
      <c r="BI6" s="57" t="s">
        <v>81</v>
      </c>
      <c r="BJ6" s="57" t="s">
        <v>81</v>
      </c>
      <c r="BK6" s="47"/>
      <c r="BL6" s="47"/>
    </row>
    <row r="7" spans="1:64" x14ac:dyDescent="0.25">
      <c r="A7" s="52" t="s">
        <v>81</v>
      </c>
      <c r="B7" s="58" t="s">
        <v>87</v>
      </c>
      <c r="C7" s="59">
        <v>46160</v>
      </c>
      <c r="D7" s="59">
        <v>46163</v>
      </c>
      <c r="E7" s="58">
        <v>4</v>
      </c>
      <c r="F7" s="58">
        <v>32</v>
      </c>
      <c r="G7" s="47"/>
      <c r="H7" s="47"/>
      <c r="I7" s="47"/>
      <c r="J7" s="47"/>
      <c r="K7" s="47"/>
      <c r="L7" s="57" t="s">
        <v>81</v>
      </c>
      <c r="M7" s="57" t="s">
        <v>81</v>
      </c>
      <c r="N7" s="47"/>
      <c r="O7" s="56" t="s">
        <v>81</v>
      </c>
      <c r="P7" s="56" t="s">
        <v>81</v>
      </c>
      <c r="Q7" s="47"/>
      <c r="R7" s="47"/>
      <c r="S7" s="57" t="s">
        <v>81</v>
      </c>
      <c r="T7" s="57" t="s">
        <v>81</v>
      </c>
      <c r="U7" s="56" t="s">
        <v>81</v>
      </c>
      <c r="V7" s="56" t="s">
        <v>81</v>
      </c>
      <c r="W7" s="56" t="s">
        <v>81</v>
      </c>
      <c r="X7" s="56" t="s">
        <v>81</v>
      </c>
      <c r="Y7" s="47"/>
      <c r="Z7" s="57" t="s">
        <v>81</v>
      </c>
      <c r="AA7" s="57" t="s">
        <v>81</v>
      </c>
      <c r="AB7" s="47"/>
      <c r="AC7" s="47"/>
      <c r="AD7" s="47"/>
      <c r="AE7" s="47"/>
      <c r="AF7" s="47"/>
      <c r="AG7" s="57" t="s">
        <v>81</v>
      </c>
      <c r="AH7" s="57" t="s">
        <v>81</v>
      </c>
      <c r="AI7" s="47"/>
      <c r="AJ7" s="47"/>
      <c r="AK7" s="47"/>
      <c r="AL7" s="47"/>
      <c r="AM7" s="47"/>
      <c r="AN7" s="57" t="s">
        <v>81</v>
      </c>
      <c r="AO7" s="57" t="s">
        <v>81</v>
      </c>
      <c r="AP7" s="47"/>
      <c r="AQ7" s="47"/>
      <c r="AR7" s="47"/>
      <c r="AS7" s="47"/>
      <c r="AT7" s="47"/>
      <c r="AU7" s="57" t="s">
        <v>81</v>
      </c>
      <c r="AV7" s="57" t="s">
        <v>81</v>
      </c>
      <c r="AW7" s="47"/>
      <c r="AX7" s="47"/>
      <c r="AY7" s="47"/>
      <c r="AZ7" s="47"/>
      <c r="BA7" s="47"/>
      <c r="BB7" s="57" t="s">
        <v>81</v>
      </c>
      <c r="BC7" s="57" t="s">
        <v>81</v>
      </c>
      <c r="BD7" s="47"/>
      <c r="BE7" s="47"/>
      <c r="BF7" s="47"/>
      <c r="BG7" s="47"/>
      <c r="BH7" s="47"/>
      <c r="BI7" s="57" t="s">
        <v>81</v>
      </c>
      <c r="BJ7" s="57" t="s">
        <v>81</v>
      </c>
      <c r="BK7" s="47"/>
      <c r="BL7" s="47"/>
    </row>
    <row r="8" spans="1:64" x14ac:dyDescent="0.25">
      <c r="A8" s="52" t="s">
        <v>81</v>
      </c>
      <c r="B8" s="58" t="s">
        <v>88</v>
      </c>
      <c r="C8" s="59">
        <v>46160</v>
      </c>
      <c r="D8" s="59">
        <v>46162</v>
      </c>
      <c r="E8" s="58">
        <v>3</v>
      </c>
      <c r="F8" s="58">
        <v>24</v>
      </c>
      <c r="G8" s="47"/>
      <c r="H8" s="47"/>
      <c r="I8" s="47"/>
      <c r="J8" s="47"/>
      <c r="K8" s="47"/>
      <c r="L8" s="57" t="s">
        <v>81</v>
      </c>
      <c r="M8" s="57" t="s">
        <v>81</v>
      </c>
      <c r="N8" s="47"/>
      <c r="O8" s="47"/>
      <c r="P8" s="47"/>
      <c r="Q8" s="47"/>
      <c r="R8" s="47"/>
      <c r="S8" s="57" t="s">
        <v>81</v>
      </c>
      <c r="T8" s="57" t="s">
        <v>81</v>
      </c>
      <c r="U8" s="56" t="s">
        <v>81</v>
      </c>
      <c r="V8" s="56" t="s">
        <v>81</v>
      </c>
      <c r="W8" s="56" t="s">
        <v>81</v>
      </c>
      <c r="X8" s="47"/>
      <c r="Y8" s="47"/>
      <c r="Z8" s="57" t="s">
        <v>81</v>
      </c>
      <c r="AA8" s="57" t="s">
        <v>81</v>
      </c>
      <c r="AB8" s="47"/>
      <c r="AC8" s="47"/>
      <c r="AD8" s="47"/>
      <c r="AE8" s="47"/>
      <c r="AF8" s="47"/>
      <c r="AG8" s="57" t="s">
        <v>81</v>
      </c>
      <c r="AH8" s="57" t="s">
        <v>81</v>
      </c>
      <c r="AI8" s="47"/>
      <c r="AJ8" s="47"/>
      <c r="AK8" s="47"/>
      <c r="AL8" s="47"/>
      <c r="AM8" s="47"/>
      <c r="AN8" s="57" t="s">
        <v>81</v>
      </c>
      <c r="AO8" s="57" t="s">
        <v>81</v>
      </c>
      <c r="AP8" s="47"/>
      <c r="AQ8" s="47"/>
      <c r="AR8" s="47"/>
      <c r="AS8" s="47"/>
      <c r="AT8" s="47"/>
      <c r="AU8" s="57" t="s">
        <v>81</v>
      </c>
      <c r="AV8" s="57" t="s">
        <v>81</v>
      </c>
      <c r="AW8" s="47"/>
      <c r="AX8" s="47"/>
      <c r="AY8" s="47"/>
      <c r="AZ8" s="47"/>
      <c r="BA8" s="47"/>
      <c r="BB8" s="57" t="s">
        <v>81</v>
      </c>
      <c r="BC8" s="57" t="s">
        <v>81</v>
      </c>
      <c r="BD8" s="47"/>
      <c r="BE8" s="47"/>
      <c r="BF8" s="47"/>
      <c r="BG8" s="47"/>
      <c r="BH8" s="47"/>
      <c r="BI8" s="57" t="s">
        <v>81</v>
      </c>
      <c r="BJ8" s="57" t="s">
        <v>81</v>
      </c>
      <c r="BK8" s="47"/>
      <c r="BL8" s="47"/>
    </row>
    <row r="9" spans="1:64" x14ac:dyDescent="0.25">
      <c r="A9" s="52" t="s">
        <v>81</v>
      </c>
      <c r="B9" s="58" t="s">
        <v>89</v>
      </c>
      <c r="C9" s="59">
        <v>46163</v>
      </c>
      <c r="D9" s="59">
        <v>46164</v>
      </c>
      <c r="E9" s="58">
        <v>2</v>
      </c>
      <c r="F9" s="58">
        <v>16</v>
      </c>
      <c r="G9" s="47"/>
      <c r="H9" s="47"/>
      <c r="I9" s="47"/>
      <c r="J9" s="47"/>
      <c r="K9" s="47"/>
      <c r="L9" s="57" t="s">
        <v>81</v>
      </c>
      <c r="M9" s="57" t="s">
        <v>81</v>
      </c>
      <c r="N9" s="47"/>
      <c r="O9" s="47"/>
      <c r="P9" s="47"/>
      <c r="Q9" s="47"/>
      <c r="R9" s="47"/>
      <c r="S9" s="57" t="s">
        <v>81</v>
      </c>
      <c r="T9" s="57" t="s">
        <v>81</v>
      </c>
      <c r="U9" s="47"/>
      <c r="V9" s="47"/>
      <c r="W9" s="47"/>
      <c r="X9" s="56" t="s">
        <v>81</v>
      </c>
      <c r="Y9" s="56" t="s">
        <v>81</v>
      </c>
      <c r="Z9" s="57" t="s">
        <v>81</v>
      </c>
      <c r="AA9" s="57" t="s">
        <v>81</v>
      </c>
      <c r="AB9" s="47"/>
      <c r="AC9" s="47"/>
      <c r="AD9" s="47"/>
      <c r="AE9" s="47"/>
      <c r="AF9" s="47"/>
      <c r="AG9" s="57" t="s">
        <v>81</v>
      </c>
      <c r="AH9" s="57" t="s">
        <v>81</v>
      </c>
      <c r="AI9" s="47"/>
      <c r="AJ9" s="47"/>
      <c r="AK9" s="47"/>
      <c r="AL9" s="47"/>
      <c r="AM9" s="47"/>
      <c r="AN9" s="57" t="s">
        <v>81</v>
      </c>
      <c r="AO9" s="57" t="s">
        <v>81</v>
      </c>
      <c r="AP9" s="47"/>
      <c r="AQ9" s="47"/>
      <c r="AR9" s="47"/>
      <c r="AS9" s="47"/>
      <c r="AT9" s="47"/>
      <c r="AU9" s="57" t="s">
        <v>81</v>
      </c>
      <c r="AV9" s="57" t="s">
        <v>81</v>
      </c>
      <c r="AW9" s="47"/>
      <c r="AX9" s="47"/>
      <c r="AY9" s="47"/>
      <c r="AZ9" s="47"/>
      <c r="BA9" s="47"/>
      <c r="BB9" s="57" t="s">
        <v>81</v>
      </c>
      <c r="BC9" s="57" t="s">
        <v>81</v>
      </c>
      <c r="BD9" s="47"/>
      <c r="BE9" s="47"/>
      <c r="BF9" s="47"/>
      <c r="BG9" s="47"/>
      <c r="BH9" s="47"/>
      <c r="BI9" s="57" t="s">
        <v>81</v>
      </c>
      <c r="BJ9" s="57" t="s">
        <v>81</v>
      </c>
      <c r="BK9" s="47"/>
      <c r="BL9" s="47"/>
    </row>
    <row r="10" spans="1:64" x14ac:dyDescent="0.25">
      <c r="A10" s="52" t="s">
        <v>81</v>
      </c>
      <c r="B10" s="58" t="s">
        <v>90</v>
      </c>
      <c r="C10" s="59">
        <v>46167</v>
      </c>
      <c r="D10" s="59">
        <v>46168</v>
      </c>
      <c r="E10" s="58">
        <v>2</v>
      </c>
      <c r="F10" s="58">
        <v>16</v>
      </c>
      <c r="G10" s="47"/>
      <c r="H10" s="47"/>
      <c r="I10" s="47"/>
      <c r="J10" s="47"/>
      <c r="K10" s="47"/>
      <c r="L10" s="57" t="s">
        <v>81</v>
      </c>
      <c r="M10" s="57" t="s">
        <v>81</v>
      </c>
      <c r="N10" s="47"/>
      <c r="O10" s="47"/>
      <c r="P10" s="47"/>
      <c r="Q10" s="47"/>
      <c r="R10" s="47"/>
      <c r="S10" s="57" t="s">
        <v>81</v>
      </c>
      <c r="T10" s="57" t="s">
        <v>81</v>
      </c>
      <c r="U10" s="47"/>
      <c r="V10" s="47"/>
      <c r="W10" s="47"/>
      <c r="X10" s="47"/>
      <c r="Y10" s="47"/>
      <c r="Z10" s="57" t="s">
        <v>81</v>
      </c>
      <c r="AA10" s="57" t="s">
        <v>81</v>
      </c>
      <c r="AB10" s="56" t="s">
        <v>81</v>
      </c>
      <c r="AC10" s="56" t="s">
        <v>81</v>
      </c>
      <c r="AD10" s="47"/>
      <c r="AE10" s="47"/>
      <c r="AF10" s="47"/>
      <c r="AG10" s="57" t="s">
        <v>81</v>
      </c>
      <c r="AH10" s="57" t="s">
        <v>81</v>
      </c>
      <c r="AI10" s="47"/>
      <c r="AJ10" s="47"/>
      <c r="AK10" s="47"/>
      <c r="AL10" s="47"/>
      <c r="AM10" s="47"/>
      <c r="AN10" s="57" t="s">
        <v>81</v>
      </c>
      <c r="AO10" s="57" t="s">
        <v>81</v>
      </c>
      <c r="AP10" s="47"/>
      <c r="AQ10" s="47"/>
      <c r="AR10" s="47"/>
      <c r="AS10" s="47"/>
      <c r="AT10" s="47"/>
      <c r="AU10" s="57" t="s">
        <v>81</v>
      </c>
      <c r="AV10" s="57" t="s">
        <v>81</v>
      </c>
      <c r="AW10" s="47"/>
      <c r="AX10" s="47"/>
      <c r="AY10" s="47"/>
      <c r="AZ10" s="47"/>
      <c r="BA10" s="47"/>
      <c r="BB10" s="57" t="s">
        <v>81</v>
      </c>
      <c r="BC10" s="57" t="s">
        <v>81</v>
      </c>
      <c r="BD10" s="47"/>
      <c r="BE10" s="47"/>
      <c r="BF10" s="47"/>
      <c r="BG10" s="47"/>
      <c r="BH10" s="47"/>
      <c r="BI10" s="57" t="s">
        <v>81</v>
      </c>
      <c r="BJ10" s="57" t="s">
        <v>81</v>
      </c>
      <c r="BK10" s="47"/>
      <c r="BL10" s="47"/>
    </row>
    <row r="11" spans="1:64" x14ac:dyDescent="0.25">
      <c r="A11" s="52" t="s">
        <v>81</v>
      </c>
      <c r="B11" s="58" t="s">
        <v>91</v>
      </c>
      <c r="C11" s="59">
        <v>46169</v>
      </c>
      <c r="D11" s="59">
        <v>46171</v>
      </c>
      <c r="E11" s="58">
        <v>3</v>
      </c>
      <c r="F11" s="58">
        <v>20</v>
      </c>
      <c r="G11" s="47"/>
      <c r="H11" s="47"/>
      <c r="I11" s="47"/>
      <c r="J11" s="47"/>
      <c r="K11" s="47"/>
      <c r="L11" s="57" t="s">
        <v>81</v>
      </c>
      <c r="M11" s="57" t="s">
        <v>81</v>
      </c>
      <c r="N11" s="47"/>
      <c r="O11" s="47"/>
      <c r="P11" s="47"/>
      <c r="Q11" s="47"/>
      <c r="R11" s="47"/>
      <c r="S11" s="57" t="s">
        <v>81</v>
      </c>
      <c r="T11" s="57" t="s">
        <v>81</v>
      </c>
      <c r="U11" s="47"/>
      <c r="V11" s="47"/>
      <c r="W11" s="47"/>
      <c r="X11" s="47"/>
      <c r="Y11" s="47"/>
      <c r="Z11" s="57" t="s">
        <v>81</v>
      </c>
      <c r="AA11" s="57" t="s">
        <v>81</v>
      </c>
      <c r="AB11" s="47"/>
      <c r="AC11" s="47"/>
      <c r="AD11" s="56" t="s">
        <v>81</v>
      </c>
      <c r="AE11" s="56" t="s">
        <v>81</v>
      </c>
      <c r="AF11" s="56" t="s">
        <v>81</v>
      </c>
      <c r="AG11" s="57" t="s">
        <v>81</v>
      </c>
      <c r="AH11" s="57" t="s">
        <v>81</v>
      </c>
      <c r="AI11" s="47"/>
      <c r="AJ11" s="47"/>
      <c r="AK11" s="47"/>
      <c r="AL11" s="47"/>
      <c r="AM11" s="47"/>
      <c r="AN11" s="57" t="s">
        <v>81</v>
      </c>
      <c r="AO11" s="57" t="s">
        <v>81</v>
      </c>
      <c r="AP11" s="47"/>
      <c r="AQ11" s="47"/>
      <c r="AR11" s="47"/>
      <c r="AS11" s="47"/>
      <c r="AT11" s="47"/>
      <c r="AU11" s="57" t="s">
        <v>81</v>
      </c>
      <c r="AV11" s="57" t="s">
        <v>81</v>
      </c>
      <c r="AW11" s="47"/>
      <c r="AX11" s="47"/>
      <c r="AY11" s="47"/>
      <c r="AZ11" s="47"/>
      <c r="BA11" s="47"/>
      <c r="BB11" s="57" t="s">
        <v>81</v>
      </c>
      <c r="BC11" s="57" t="s">
        <v>81</v>
      </c>
      <c r="BD11" s="47"/>
      <c r="BE11" s="47"/>
      <c r="BF11" s="47"/>
      <c r="BG11" s="47"/>
      <c r="BH11" s="47"/>
      <c r="BI11" s="57" t="s">
        <v>81</v>
      </c>
      <c r="BJ11" s="57" t="s">
        <v>81</v>
      </c>
      <c r="BK11" s="47"/>
      <c r="BL11" s="47"/>
    </row>
    <row r="12" spans="1:64" x14ac:dyDescent="0.25">
      <c r="A12" s="60" t="s">
        <v>81</v>
      </c>
      <c r="B12" s="61" t="s">
        <v>16</v>
      </c>
      <c r="C12" s="63">
        <v>46146</v>
      </c>
      <c r="D12" s="63">
        <v>46185</v>
      </c>
      <c r="E12" s="62">
        <v>38</v>
      </c>
      <c r="F12" s="62">
        <v>780</v>
      </c>
      <c r="G12" s="64" t="s">
        <v>81</v>
      </c>
      <c r="H12" s="64" t="s">
        <v>81</v>
      </c>
      <c r="I12" s="64" t="s">
        <v>81</v>
      </c>
      <c r="J12" s="64" t="s">
        <v>81</v>
      </c>
      <c r="K12" s="64" t="s">
        <v>81</v>
      </c>
      <c r="L12" s="64" t="s">
        <v>81</v>
      </c>
      <c r="M12" s="64" t="s">
        <v>81</v>
      </c>
      <c r="N12" s="64" t="s">
        <v>81</v>
      </c>
      <c r="O12" s="64" t="s">
        <v>81</v>
      </c>
      <c r="P12" s="64" t="s">
        <v>81</v>
      </c>
      <c r="Q12" s="64" t="s">
        <v>81</v>
      </c>
      <c r="R12" s="64" t="s">
        <v>81</v>
      </c>
      <c r="S12" s="64" t="s">
        <v>81</v>
      </c>
      <c r="T12" s="64" t="s">
        <v>81</v>
      </c>
      <c r="U12" s="64" t="s">
        <v>81</v>
      </c>
      <c r="V12" s="64" t="s">
        <v>81</v>
      </c>
      <c r="W12" s="64" t="s">
        <v>81</v>
      </c>
      <c r="X12" s="64" t="s">
        <v>81</v>
      </c>
      <c r="Y12" s="64" t="s">
        <v>81</v>
      </c>
      <c r="Z12" s="64" t="s">
        <v>81</v>
      </c>
      <c r="AA12" s="64" t="s">
        <v>81</v>
      </c>
      <c r="AB12" s="64" t="s">
        <v>81</v>
      </c>
      <c r="AC12" s="64" t="s">
        <v>81</v>
      </c>
      <c r="AD12" s="64" t="s">
        <v>81</v>
      </c>
      <c r="AE12" s="64" t="s">
        <v>81</v>
      </c>
      <c r="AF12" s="64" t="s">
        <v>81</v>
      </c>
      <c r="AG12" s="64" t="s">
        <v>81</v>
      </c>
      <c r="AH12" s="64" t="s">
        <v>81</v>
      </c>
      <c r="AI12" s="64" t="s">
        <v>81</v>
      </c>
      <c r="AJ12" s="64" t="s">
        <v>81</v>
      </c>
      <c r="AK12" s="64" t="s">
        <v>81</v>
      </c>
      <c r="AL12" s="64" t="s">
        <v>81</v>
      </c>
      <c r="AM12" s="64" t="s">
        <v>81</v>
      </c>
      <c r="AN12" s="64" t="s">
        <v>81</v>
      </c>
      <c r="AO12" s="64" t="s">
        <v>81</v>
      </c>
      <c r="AP12" s="64" t="s">
        <v>81</v>
      </c>
      <c r="AQ12" s="64" t="s">
        <v>81</v>
      </c>
      <c r="AR12" s="64" t="s">
        <v>81</v>
      </c>
      <c r="AS12" s="47"/>
      <c r="AT12" s="47"/>
      <c r="AU12" s="57" t="s">
        <v>81</v>
      </c>
      <c r="AV12" s="57" t="s">
        <v>81</v>
      </c>
      <c r="AW12" s="47"/>
      <c r="AX12" s="47"/>
      <c r="AY12" s="47"/>
      <c r="AZ12" s="47"/>
      <c r="BA12" s="47"/>
      <c r="BB12" s="57" t="s">
        <v>81</v>
      </c>
      <c r="BC12" s="57" t="s">
        <v>81</v>
      </c>
      <c r="BD12" s="47"/>
      <c r="BE12" s="47"/>
      <c r="BF12" s="47"/>
      <c r="BG12" s="47"/>
      <c r="BH12" s="47"/>
      <c r="BI12" s="57" t="s">
        <v>81</v>
      </c>
      <c r="BJ12" s="57" t="s">
        <v>81</v>
      </c>
      <c r="BK12" s="47"/>
      <c r="BL12" s="47"/>
    </row>
    <row r="13" spans="1:64" x14ac:dyDescent="0.25">
      <c r="A13" s="60" t="s">
        <v>81</v>
      </c>
      <c r="B13" s="58" t="s">
        <v>92</v>
      </c>
      <c r="C13" s="59">
        <v>46146</v>
      </c>
      <c r="D13" s="59">
        <v>46162</v>
      </c>
      <c r="E13" s="58">
        <v>13</v>
      </c>
      <c r="F13" s="58">
        <v>100</v>
      </c>
      <c r="G13" s="64" t="s">
        <v>81</v>
      </c>
      <c r="H13" s="64" t="s">
        <v>81</v>
      </c>
      <c r="I13" s="64" t="s">
        <v>81</v>
      </c>
      <c r="J13" s="64" t="s">
        <v>81</v>
      </c>
      <c r="K13" s="64" t="s">
        <v>81</v>
      </c>
      <c r="L13" s="64" t="s">
        <v>81</v>
      </c>
      <c r="M13" s="64" t="s">
        <v>81</v>
      </c>
      <c r="N13" s="64" t="s">
        <v>81</v>
      </c>
      <c r="O13" s="64" t="s">
        <v>81</v>
      </c>
      <c r="P13" s="64" t="s">
        <v>81</v>
      </c>
      <c r="Q13" s="64" t="s">
        <v>81</v>
      </c>
      <c r="R13" s="64" t="s">
        <v>81</v>
      </c>
      <c r="S13" s="64" t="s">
        <v>81</v>
      </c>
      <c r="T13" s="64" t="s">
        <v>81</v>
      </c>
      <c r="U13" s="64" t="s">
        <v>81</v>
      </c>
      <c r="V13" s="64" t="s">
        <v>81</v>
      </c>
      <c r="W13" s="64" t="s">
        <v>81</v>
      </c>
      <c r="X13" s="47"/>
      <c r="Y13" s="47"/>
      <c r="Z13" s="57" t="s">
        <v>81</v>
      </c>
      <c r="AA13" s="57" t="s">
        <v>81</v>
      </c>
      <c r="AB13" s="47"/>
      <c r="AC13" s="47"/>
      <c r="AD13" s="47"/>
      <c r="AE13" s="47"/>
      <c r="AF13" s="47"/>
      <c r="AG13" s="57" t="s">
        <v>81</v>
      </c>
      <c r="AH13" s="57" t="s">
        <v>81</v>
      </c>
      <c r="AI13" s="47"/>
      <c r="AJ13" s="47"/>
      <c r="AK13" s="47"/>
      <c r="AL13" s="47"/>
      <c r="AM13" s="47"/>
      <c r="AN13" s="57" t="s">
        <v>81</v>
      </c>
      <c r="AO13" s="57" t="s">
        <v>81</v>
      </c>
      <c r="AP13" s="47"/>
      <c r="AQ13" s="47"/>
      <c r="AR13" s="47"/>
      <c r="AS13" s="47"/>
      <c r="AT13" s="47"/>
      <c r="AU13" s="57" t="s">
        <v>81</v>
      </c>
      <c r="AV13" s="57" t="s">
        <v>81</v>
      </c>
      <c r="AW13" s="47"/>
      <c r="AX13" s="47"/>
      <c r="AY13" s="47"/>
      <c r="AZ13" s="47"/>
      <c r="BA13" s="47"/>
      <c r="BB13" s="57" t="s">
        <v>81</v>
      </c>
      <c r="BC13" s="57" t="s">
        <v>81</v>
      </c>
      <c r="BD13" s="47"/>
      <c r="BE13" s="47"/>
      <c r="BF13" s="47"/>
      <c r="BG13" s="47"/>
      <c r="BH13" s="47"/>
      <c r="BI13" s="57" t="s">
        <v>81</v>
      </c>
      <c r="BJ13" s="57" t="s">
        <v>81</v>
      </c>
      <c r="BK13" s="47"/>
      <c r="BL13" s="47"/>
    </row>
    <row r="14" spans="1:64" x14ac:dyDescent="0.25">
      <c r="A14" s="60" t="s">
        <v>81</v>
      </c>
      <c r="B14" s="58" t="s">
        <v>93</v>
      </c>
      <c r="C14" s="59">
        <v>46146</v>
      </c>
      <c r="D14" s="59">
        <v>46164</v>
      </c>
      <c r="E14" s="58">
        <v>15</v>
      </c>
      <c r="F14" s="58">
        <v>120</v>
      </c>
      <c r="G14" s="64" t="s">
        <v>81</v>
      </c>
      <c r="H14" s="64" t="s">
        <v>81</v>
      </c>
      <c r="I14" s="64" t="s">
        <v>81</v>
      </c>
      <c r="J14" s="64" t="s">
        <v>81</v>
      </c>
      <c r="K14" s="64" t="s">
        <v>81</v>
      </c>
      <c r="L14" s="64" t="s">
        <v>81</v>
      </c>
      <c r="M14" s="64" t="s">
        <v>81</v>
      </c>
      <c r="N14" s="64" t="s">
        <v>81</v>
      </c>
      <c r="O14" s="64" t="s">
        <v>81</v>
      </c>
      <c r="P14" s="64" t="s">
        <v>81</v>
      </c>
      <c r="Q14" s="64" t="s">
        <v>81</v>
      </c>
      <c r="R14" s="64" t="s">
        <v>81</v>
      </c>
      <c r="S14" s="64" t="s">
        <v>81</v>
      </c>
      <c r="T14" s="64" t="s">
        <v>81</v>
      </c>
      <c r="U14" s="64" t="s">
        <v>81</v>
      </c>
      <c r="V14" s="64" t="s">
        <v>81</v>
      </c>
      <c r="W14" s="64" t="s">
        <v>81</v>
      </c>
      <c r="X14" s="64" t="s">
        <v>81</v>
      </c>
      <c r="Y14" s="64" t="s">
        <v>81</v>
      </c>
      <c r="Z14" s="57" t="s">
        <v>81</v>
      </c>
      <c r="AA14" s="57" t="s">
        <v>81</v>
      </c>
      <c r="AB14" s="47"/>
      <c r="AC14" s="47"/>
      <c r="AD14" s="47"/>
      <c r="AE14" s="47"/>
      <c r="AF14" s="47"/>
      <c r="AG14" s="57" t="s">
        <v>81</v>
      </c>
      <c r="AH14" s="57" t="s">
        <v>81</v>
      </c>
      <c r="AI14" s="47"/>
      <c r="AJ14" s="47"/>
      <c r="AK14" s="47"/>
      <c r="AL14" s="47"/>
      <c r="AM14" s="47"/>
      <c r="AN14" s="57" t="s">
        <v>81</v>
      </c>
      <c r="AO14" s="57" t="s">
        <v>81</v>
      </c>
      <c r="AP14" s="47"/>
      <c r="AQ14" s="47"/>
      <c r="AR14" s="47"/>
      <c r="AS14" s="47"/>
      <c r="AT14" s="47"/>
      <c r="AU14" s="57" t="s">
        <v>81</v>
      </c>
      <c r="AV14" s="57" t="s">
        <v>81</v>
      </c>
      <c r="AW14" s="47"/>
      <c r="AX14" s="47"/>
      <c r="AY14" s="47"/>
      <c r="AZ14" s="47"/>
      <c r="BA14" s="47"/>
      <c r="BB14" s="57" t="s">
        <v>81</v>
      </c>
      <c r="BC14" s="57" t="s">
        <v>81</v>
      </c>
      <c r="BD14" s="47"/>
      <c r="BE14" s="47"/>
      <c r="BF14" s="47"/>
      <c r="BG14" s="47"/>
      <c r="BH14" s="47"/>
      <c r="BI14" s="57" t="s">
        <v>81</v>
      </c>
      <c r="BJ14" s="57" t="s">
        <v>81</v>
      </c>
      <c r="BK14" s="47"/>
      <c r="BL14" s="47"/>
    </row>
    <row r="15" spans="1:64" x14ac:dyDescent="0.25">
      <c r="A15" s="60" t="s">
        <v>81</v>
      </c>
      <c r="B15" s="58" t="s">
        <v>94</v>
      </c>
      <c r="C15" s="59">
        <v>46146</v>
      </c>
      <c r="D15" s="59">
        <v>46164</v>
      </c>
      <c r="E15" s="58">
        <v>15</v>
      </c>
      <c r="F15" s="58">
        <v>120</v>
      </c>
      <c r="G15" s="64" t="s">
        <v>81</v>
      </c>
      <c r="H15" s="64" t="s">
        <v>81</v>
      </c>
      <c r="I15" s="64" t="s">
        <v>81</v>
      </c>
      <c r="J15" s="64" t="s">
        <v>81</v>
      </c>
      <c r="K15" s="64" t="s">
        <v>81</v>
      </c>
      <c r="L15" s="64" t="s">
        <v>81</v>
      </c>
      <c r="M15" s="64" t="s">
        <v>81</v>
      </c>
      <c r="N15" s="64" t="s">
        <v>81</v>
      </c>
      <c r="O15" s="64" t="s">
        <v>81</v>
      </c>
      <c r="P15" s="64" t="s">
        <v>81</v>
      </c>
      <c r="Q15" s="64" t="s">
        <v>81</v>
      </c>
      <c r="R15" s="64" t="s">
        <v>81</v>
      </c>
      <c r="S15" s="64" t="s">
        <v>81</v>
      </c>
      <c r="T15" s="64" t="s">
        <v>81</v>
      </c>
      <c r="U15" s="64" t="s">
        <v>81</v>
      </c>
      <c r="V15" s="64" t="s">
        <v>81</v>
      </c>
      <c r="W15" s="64" t="s">
        <v>81</v>
      </c>
      <c r="X15" s="64" t="s">
        <v>81</v>
      </c>
      <c r="Y15" s="64" t="s">
        <v>81</v>
      </c>
      <c r="Z15" s="57" t="s">
        <v>81</v>
      </c>
      <c r="AA15" s="57" t="s">
        <v>81</v>
      </c>
      <c r="AB15" s="47"/>
      <c r="AC15" s="47"/>
      <c r="AD15" s="47"/>
      <c r="AE15" s="47"/>
      <c r="AF15" s="47"/>
      <c r="AG15" s="57" t="s">
        <v>81</v>
      </c>
      <c r="AH15" s="57" t="s">
        <v>81</v>
      </c>
      <c r="AI15" s="47"/>
      <c r="AJ15" s="47"/>
      <c r="AK15" s="47"/>
      <c r="AL15" s="47"/>
      <c r="AM15" s="47"/>
      <c r="AN15" s="57" t="s">
        <v>81</v>
      </c>
      <c r="AO15" s="57" t="s">
        <v>81</v>
      </c>
      <c r="AP15" s="47"/>
      <c r="AQ15" s="47"/>
      <c r="AR15" s="47"/>
      <c r="AS15" s="47"/>
      <c r="AT15" s="47"/>
      <c r="AU15" s="57" t="s">
        <v>81</v>
      </c>
      <c r="AV15" s="57" t="s">
        <v>81</v>
      </c>
      <c r="AW15" s="47"/>
      <c r="AX15" s="47"/>
      <c r="AY15" s="47"/>
      <c r="AZ15" s="47"/>
      <c r="BA15" s="47"/>
      <c r="BB15" s="57" t="s">
        <v>81</v>
      </c>
      <c r="BC15" s="57" t="s">
        <v>81</v>
      </c>
      <c r="BD15" s="47"/>
      <c r="BE15" s="47"/>
      <c r="BF15" s="47"/>
      <c r="BG15" s="47"/>
      <c r="BH15" s="47"/>
      <c r="BI15" s="57" t="s">
        <v>81</v>
      </c>
      <c r="BJ15" s="57" t="s">
        <v>81</v>
      </c>
      <c r="BK15" s="47"/>
      <c r="BL15" s="47"/>
    </row>
    <row r="16" spans="1:64" ht="16.350000000000001" customHeight="1" x14ac:dyDescent="0.25">
      <c r="A16" s="60" t="s">
        <v>81</v>
      </c>
      <c r="B16" s="82" t="s">
        <v>95</v>
      </c>
      <c r="C16" s="59">
        <v>46153</v>
      </c>
      <c r="D16" s="59">
        <v>46164</v>
      </c>
      <c r="E16" s="58">
        <v>10</v>
      </c>
      <c r="F16" s="58">
        <v>80</v>
      </c>
      <c r="G16" s="47"/>
      <c r="H16" s="47"/>
      <c r="I16" s="47"/>
      <c r="J16" s="47"/>
      <c r="K16" s="47"/>
      <c r="L16" s="57" t="s">
        <v>81</v>
      </c>
      <c r="M16" s="57" t="s">
        <v>81</v>
      </c>
      <c r="N16" s="64" t="s">
        <v>81</v>
      </c>
      <c r="O16" s="64" t="s">
        <v>81</v>
      </c>
      <c r="P16" s="64" t="s">
        <v>81</v>
      </c>
      <c r="Q16" s="64" t="s">
        <v>81</v>
      </c>
      <c r="R16" s="64" t="s">
        <v>81</v>
      </c>
      <c r="S16" s="64" t="s">
        <v>81</v>
      </c>
      <c r="T16" s="64" t="s">
        <v>81</v>
      </c>
      <c r="U16" s="64" t="s">
        <v>81</v>
      </c>
      <c r="V16" s="64" t="s">
        <v>81</v>
      </c>
      <c r="W16" s="64" t="s">
        <v>81</v>
      </c>
      <c r="X16" s="64" t="s">
        <v>81</v>
      </c>
      <c r="Y16" s="64" t="s">
        <v>81</v>
      </c>
      <c r="Z16" s="57" t="s">
        <v>81</v>
      </c>
      <c r="AA16" s="57" t="s">
        <v>81</v>
      </c>
      <c r="AB16" s="47"/>
      <c r="AC16" s="47"/>
      <c r="AD16" s="47"/>
      <c r="AE16" s="47"/>
      <c r="AF16" s="47"/>
      <c r="AG16" s="57" t="s">
        <v>81</v>
      </c>
      <c r="AH16" s="57" t="s">
        <v>81</v>
      </c>
      <c r="AI16" s="47"/>
      <c r="AJ16" s="47"/>
      <c r="AK16" s="47"/>
      <c r="AL16" s="47"/>
      <c r="AM16" s="47"/>
      <c r="AN16" s="57" t="s">
        <v>81</v>
      </c>
      <c r="AO16" s="57" t="s">
        <v>81</v>
      </c>
      <c r="AP16" s="47"/>
      <c r="AQ16" s="47"/>
      <c r="AR16" s="47"/>
      <c r="AS16" s="47"/>
      <c r="AT16" s="47"/>
      <c r="AU16" s="57" t="s">
        <v>81</v>
      </c>
      <c r="AV16" s="57" t="s">
        <v>81</v>
      </c>
      <c r="AW16" s="47"/>
      <c r="AX16" s="47"/>
      <c r="AY16" s="47"/>
      <c r="AZ16" s="47"/>
      <c r="BA16" s="47"/>
      <c r="BB16" s="57" t="s">
        <v>81</v>
      </c>
      <c r="BC16" s="57" t="s">
        <v>81</v>
      </c>
      <c r="BD16" s="47"/>
      <c r="BE16" s="47"/>
      <c r="BF16" s="47"/>
      <c r="BG16" s="47"/>
      <c r="BH16" s="47"/>
      <c r="BI16" s="57" t="s">
        <v>81</v>
      </c>
      <c r="BJ16" s="57" t="s">
        <v>81</v>
      </c>
      <c r="BK16" s="47"/>
      <c r="BL16" s="47"/>
    </row>
    <row r="17" spans="1:64" x14ac:dyDescent="0.25">
      <c r="A17" s="60" t="s">
        <v>81</v>
      </c>
      <c r="B17" s="58" t="s">
        <v>96</v>
      </c>
      <c r="C17" s="59">
        <v>46164</v>
      </c>
      <c r="D17" s="59">
        <v>46175</v>
      </c>
      <c r="E17" s="58">
        <v>8</v>
      </c>
      <c r="F17" s="58">
        <v>60</v>
      </c>
      <c r="G17" s="47"/>
      <c r="H17" s="47"/>
      <c r="I17" s="47"/>
      <c r="J17" s="47"/>
      <c r="K17" s="47"/>
      <c r="L17" s="57" t="s">
        <v>81</v>
      </c>
      <c r="M17" s="57" t="s">
        <v>81</v>
      </c>
      <c r="N17" s="47"/>
      <c r="O17" s="47"/>
      <c r="P17" s="47"/>
      <c r="Q17" s="47"/>
      <c r="R17" s="47"/>
      <c r="S17" s="57" t="s">
        <v>81</v>
      </c>
      <c r="T17" s="57" t="s">
        <v>81</v>
      </c>
      <c r="U17" s="47"/>
      <c r="V17" s="47"/>
      <c r="W17" s="47"/>
      <c r="X17" s="47"/>
      <c r="Y17" s="64" t="s">
        <v>81</v>
      </c>
      <c r="Z17" s="64" t="s">
        <v>81</v>
      </c>
      <c r="AA17" s="64" t="s">
        <v>81</v>
      </c>
      <c r="AB17" s="64" t="s">
        <v>81</v>
      </c>
      <c r="AC17" s="64" t="s">
        <v>81</v>
      </c>
      <c r="AD17" s="64" t="s">
        <v>81</v>
      </c>
      <c r="AE17" s="64" t="s">
        <v>81</v>
      </c>
      <c r="AF17" s="64" t="s">
        <v>81</v>
      </c>
      <c r="AG17" s="64" t="s">
        <v>81</v>
      </c>
      <c r="AH17" s="64" t="s">
        <v>81</v>
      </c>
      <c r="AI17" s="64" t="s">
        <v>81</v>
      </c>
      <c r="AJ17" s="64" t="s">
        <v>81</v>
      </c>
      <c r="AK17" s="47"/>
      <c r="AL17" s="47"/>
      <c r="AM17" s="47"/>
      <c r="AN17" s="57" t="s">
        <v>81</v>
      </c>
      <c r="AO17" s="57" t="s">
        <v>81</v>
      </c>
      <c r="AP17" s="47"/>
      <c r="AQ17" s="47"/>
      <c r="AR17" s="47"/>
      <c r="AS17" s="47"/>
      <c r="AT17" s="47"/>
      <c r="AU17" s="57" t="s">
        <v>81</v>
      </c>
      <c r="AV17" s="57" t="s">
        <v>81</v>
      </c>
      <c r="AW17" s="47"/>
      <c r="AX17" s="47"/>
      <c r="AY17" s="47"/>
      <c r="AZ17" s="47"/>
      <c r="BA17" s="47"/>
      <c r="BB17" s="57" t="s">
        <v>81</v>
      </c>
      <c r="BC17" s="57" t="s">
        <v>81</v>
      </c>
      <c r="BD17" s="47"/>
      <c r="BE17" s="47"/>
      <c r="BF17" s="47"/>
      <c r="BG17" s="47"/>
      <c r="BH17" s="47"/>
      <c r="BI17" s="57" t="s">
        <v>81</v>
      </c>
      <c r="BJ17" s="57" t="s">
        <v>81</v>
      </c>
      <c r="BK17" s="47"/>
      <c r="BL17" s="47"/>
    </row>
    <row r="18" spans="1:64" x14ac:dyDescent="0.25">
      <c r="A18" s="60" t="s">
        <v>81</v>
      </c>
      <c r="B18" s="58" t="s">
        <v>97</v>
      </c>
      <c r="C18" s="59">
        <v>46164</v>
      </c>
      <c r="D18" s="59">
        <v>46182</v>
      </c>
      <c r="E18" s="58">
        <v>13</v>
      </c>
      <c r="F18" s="58">
        <v>100</v>
      </c>
      <c r="G18" s="47"/>
      <c r="H18" s="47"/>
      <c r="I18" s="47"/>
      <c r="J18" s="47"/>
      <c r="K18" s="47"/>
      <c r="L18" s="57" t="s">
        <v>81</v>
      </c>
      <c r="M18" s="57" t="s">
        <v>81</v>
      </c>
      <c r="N18" s="47"/>
      <c r="O18" s="47"/>
      <c r="P18" s="47"/>
      <c r="Q18" s="47"/>
      <c r="R18" s="47"/>
      <c r="S18" s="57" t="s">
        <v>81</v>
      </c>
      <c r="T18" s="57" t="s">
        <v>81</v>
      </c>
      <c r="U18" s="47"/>
      <c r="V18" s="47"/>
      <c r="W18" s="47"/>
      <c r="X18" s="47"/>
      <c r="Y18" s="47"/>
      <c r="Z18" s="57" t="s">
        <v>81</v>
      </c>
      <c r="AA18" s="57" t="s">
        <v>81</v>
      </c>
      <c r="AB18" s="64" t="s">
        <v>81</v>
      </c>
      <c r="AC18" s="64" t="s">
        <v>81</v>
      </c>
      <c r="AD18" s="64" t="s">
        <v>81</v>
      </c>
      <c r="AE18" s="64" t="s">
        <v>81</v>
      </c>
      <c r="AF18" s="64" t="s">
        <v>81</v>
      </c>
      <c r="AG18" s="64" t="s">
        <v>81</v>
      </c>
      <c r="AH18" s="64" t="s">
        <v>81</v>
      </c>
      <c r="AI18" s="64" t="s">
        <v>81</v>
      </c>
      <c r="AJ18" s="64" t="s">
        <v>81</v>
      </c>
      <c r="AK18" s="64" t="s">
        <v>81</v>
      </c>
      <c r="AL18" s="64" t="s">
        <v>81</v>
      </c>
      <c r="AM18" s="64" t="s">
        <v>81</v>
      </c>
      <c r="AN18" s="64" t="s">
        <v>81</v>
      </c>
      <c r="AO18" s="64" t="s">
        <v>81</v>
      </c>
      <c r="AP18" s="64" t="s">
        <v>81</v>
      </c>
      <c r="AQ18" s="64" t="s">
        <v>81</v>
      </c>
      <c r="AR18" s="47"/>
      <c r="AS18" s="47"/>
      <c r="AT18" s="47"/>
      <c r="AU18" s="57" t="s">
        <v>81</v>
      </c>
      <c r="AV18" s="57" t="s">
        <v>81</v>
      </c>
      <c r="AW18" s="47"/>
      <c r="AX18" s="47"/>
      <c r="AY18" s="47"/>
      <c r="AZ18" s="47"/>
      <c r="BA18" s="47"/>
      <c r="BB18" s="57" t="s">
        <v>81</v>
      </c>
      <c r="BC18" s="57" t="s">
        <v>81</v>
      </c>
      <c r="BD18" s="47"/>
      <c r="BE18" s="47"/>
      <c r="BF18" s="47"/>
      <c r="BG18" s="47"/>
      <c r="BH18" s="47"/>
      <c r="BI18" s="57" t="s">
        <v>81</v>
      </c>
      <c r="BJ18" s="57" t="s">
        <v>81</v>
      </c>
      <c r="BK18" s="47"/>
      <c r="BL18" s="47"/>
    </row>
    <row r="19" spans="1:64" x14ac:dyDescent="0.25">
      <c r="A19" s="60"/>
      <c r="B19" s="58" t="s">
        <v>98</v>
      </c>
      <c r="C19" s="59">
        <v>46164</v>
      </c>
      <c r="D19" s="59">
        <v>46184</v>
      </c>
      <c r="E19" s="58">
        <v>15</v>
      </c>
      <c r="F19" s="58">
        <v>120</v>
      </c>
      <c r="G19" s="47"/>
      <c r="H19" s="47"/>
      <c r="I19" s="47"/>
      <c r="J19" s="47"/>
      <c r="K19" s="47"/>
      <c r="L19" s="57"/>
      <c r="M19" s="57"/>
      <c r="N19" s="47"/>
      <c r="O19" s="47"/>
      <c r="P19" s="47"/>
      <c r="Q19" s="47"/>
      <c r="R19" s="47"/>
      <c r="S19" s="57"/>
      <c r="T19" s="57"/>
      <c r="U19" s="47"/>
      <c r="V19" s="47"/>
      <c r="W19" s="47"/>
      <c r="X19" s="47"/>
      <c r="Y19" s="47"/>
      <c r="Z19" s="57"/>
      <c r="AA19" s="57"/>
      <c r="AB19" s="64" t="s">
        <v>81</v>
      </c>
      <c r="AC19" s="64" t="s">
        <v>81</v>
      </c>
      <c r="AD19" s="64" t="s">
        <v>81</v>
      </c>
      <c r="AE19" s="64" t="s">
        <v>81</v>
      </c>
      <c r="AF19" s="64" t="s">
        <v>81</v>
      </c>
      <c r="AG19" s="64" t="s">
        <v>81</v>
      </c>
      <c r="AH19" s="64" t="s">
        <v>81</v>
      </c>
      <c r="AI19" s="64" t="s">
        <v>81</v>
      </c>
      <c r="AJ19" s="64" t="s">
        <v>81</v>
      </c>
      <c r="AK19" s="64" t="s">
        <v>81</v>
      </c>
      <c r="AL19" s="64" t="s">
        <v>81</v>
      </c>
      <c r="AM19" s="64" t="s">
        <v>81</v>
      </c>
      <c r="AN19" s="64" t="s">
        <v>81</v>
      </c>
      <c r="AO19" s="64" t="s">
        <v>81</v>
      </c>
      <c r="AP19" s="64" t="s">
        <v>81</v>
      </c>
      <c r="AQ19" s="64" t="s">
        <v>81</v>
      </c>
      <c r="AR19" s="64" t="s">
        <v>81</v>
      </c>
      <c r="AS19" s="64" t="s">
        <v>81</v>
      </c>
      <c r="AT19" s="47"/>
      <c r="AU19" s="57"/>
      <c r="AV19" s="57"/>
      <c r="AW19" s="47"/>
      <c r="AX19" s="47"/>
      <c r="AY19" s="47"/>
      <c r="AZ19" s="47"/>
      <c r="BA19" s="47"/>
      <c r="BB19" s="57"/>
      <c r="BC19" s="57"/>
      <c r="BD19" s="47"/>
      <c r="BE19" s="47"/>
      <c r="BF19" s="47"/>
      <c r="BG19" s="47"/>
      <c r="BH19" s="47"/>
      <c r="BI19" s="57"/>
      <c r="BJ19" s="57"/>
      <c r="BK19" s="47"/>
      <c r="BL19" s="47"/>
    </row>
    <row r="20" spans="1:64" x14ac:dyDescent="0.25">
      <c r="A20" s="60" t="s">
        <v>81</v>
      </c>
      <c r="B20" s="58" t="s">
        <v>99</v>
      </c>
      <c r="C20" s="59">
        <v>46174</v>
      </c>
      <c r="D20" s="59">
        <v>46185</v>
      </c>
      <c r="E20" s="58">
        <v>10</v>
      </c>
      <c r="F20" s="58">
        <v>80</v>
      </c>
      <c r="G20" s="47"/>
      <c r="H20" s="47"/>
      <c r="I20" s="47"/>
      <c r="J20" s="47"/>
      <c r="K20" s="47"/>
      <c r="L20" s="57" t="s">
        <v>81</v>
      </c>
      <c r="M20" s="57" t="s">
        <v>81</v>
      </c>
      <c r="N20" s="47"/>
      <c r="O20" s="47"/>
      <c r="P20" s="47"/>
      <c r="Q20" s="47"/>
      <c r="R20" s="47"/>
      <c r="S20" s="57" t="s">
        <v>81</v>
      </c>
      <c r="T20" s="57" t="s">
        <v>81</v>
      </c>
      <c r="U20" s="47"/>
      <c r="V20" s="47"/>
      <c r="W20" s="47"/>
      <c r="X20" s="47"/>
      <c r="Y20" s="47"/>
      <c r="Z20" s="57" t="s">
        <v>81</v>
      </c>
      <c r="AA20" s="57" t="s">
        <v>81</v>
      </c>
      <c r="AB20" s="47"/>
      <c r="AC20" s="47"/>
      <c r="AD20" s="47"/>
      <c r="AE20" s="47"/>
      <c r="AF20" s="47"/>
      <c r="AG20" s="57" t="s">
        <v>81</v>
      </c>
      <c r="AH20" s="57" t="s">
        <v>81</v>
      </c>
      <c r="AI20" s="64" t="s">
        <v>81</v>
      </c>
      <c r="AJ20" s="64" t="s">
        <v>81</v>
      </c>
      <c r="AK20" s="64" t="s">
        <v>81</v>
      </c>
      <c r="AL20" s="64" t="s">
        <v>81</v>
      </c>
      <c r="AM20" s="64" t="s">
        <v>81</v>
      </c>
      <c r="AN20" s="64" t="s">
        <v>81</v>
      </c>
      <c r="AO20" s="64" t="s">
        <v>81</v>
      </c>
      <c r="AP20" s="64" t="s">
        <v>81</v>
      </c>
      <c r="AQ20" s="64" t="s">
        <v>81</v>
      </c>
      <c r="AR20" s="64" t="s">
        <v>81</v>
      </c>
      <c r="AS20" s="64" t="s">
        <v>81</v>
      </c>
      <c r="AT20" s="64" t="s">
        <v>81</v>
      </c>
      <c r="AU20" s="57" t="s">
        <v>81</v>
      </c>
      <c r="AV20" s="57" t="s">
        <v>81</v>
      </c>
      <c r="AW20" s="47"/>
      <c r="AX20" s="47"/>
      <c r="AY20" s="47"/>
      <c r="AZ20" s="47"/>
      <c r="BA20" s="47"/>
      <c r="BB20" s="57" t="s">
        <v>81</v>
      </c>
      <c r="BC20" s="57" t="s">
        <v>81</v>
      </c>
      <c r="BD20" s="47"/>
      <c r="BE20" s="47"/>
      <c r="BF20" s="47"/>
      <c r="BG20" s="47"/>
      <c r="BH20" s="47"/>
      <c r="BI20" s="57" t="s">
        <v>81</v>
      </c>
      <c r="BJ20" s="57" t="s">
        <v>81</v>
      </c>
      <c r="BK20" s="47"/>
      <c r="BL20" s="47"/>
    </row>
    <row r="21" spans="1:64" x14ac:dyDescent="0.25">
      <c r="A21" s="65" t="s">
        <v>81</v>
      </c>
      <c r="B21" s="66" t="s">
        <v>18</v>
      </c>
      <c r="C21" s="68">
        <v>46160</v>
      </c>
      <c r="D21" s="68">
        <v>46191</v>
      </c>
      <c r="E21" s="67">
        <v>23</v>
      </c>
      <c r="F21" s="67">
        <v>244</v>
      </c>
      <c r="G21" s="47"/>
      <c r="H21" s="47"/>
      <c r="I21" s="47"/>
      <c r="J21" s="47"/>
      <c r="K21" s="47"/>
      <c r="L21" s="57" t="s">
        <v>81</v>
      </c>
      <c r="M21" s="57" t="s">
        <v>81</v>
      </c>
      <c r="N21" s="47"/>
      <c r="O21" s="47"/>
      <c r="P21" s="47"/>
      <c r="Q21" s="47"/>
      <c r="R21" s="47"/>
      <c r="S21" s="57" t="s">
        <v>81</v>
      </c>
      <c r="T21" s="57" t="s">
        <v>81</v>
      </c>
      <c r="U21" s="69" t="s">
        <v>81</v>
      </c>
      <c r="V21" s="69" t="s">
        <v>81</v>
      </c>
      <c r="W21" s="69" t="s">
        <v>81</v>
      </c>
      <c r="X21" s="69" t="s">
        <v>81</v>
      </c>
      <c r="Y21" s="69" t="s">
        <v>81</v>
      </c>
      <c r="Z21" s="69" t="s">
        <v>81</v>
      </c>
      <c r="AA21" s="69" t="s">
        <v>81</v>
      </c>
      <c r="AB21" s="69" t="s">
        <v>81</v>
      </c>
      <c r="AC21" s="69" t="s">
        <v>81</v>
      </c>
      <c r="AD21" s="69" t="s">
        <v>81</v>
      </c>
      <c r="AE21" s="69" t="s">
        <v>81</v>
      </c>
      <c r="AF21" s="69" t="s">
        <v>81</v>
      </c>
      <c r="AG21" s="69" t="s">
        <v>81</v>
      </c>
      <c r="AH21" s="69" t="s">
        <v>81</v>
      </c>
      <c r="AI21" s="69" t="s">
        <v>81</v>
      </c>
      <c r="AJ21" s="69" t="s">
        <v>81</v>
      </c>
      <c r="AK21" s="69" t="s">
        <v>81</v>
      </c>
      <c r="AL21" s="69" t="s">
        <v>81</v>
      </c>
      <c r="AM21" s="69" t="s">
        <v>81</v>
      </c>
      <c r="AN21" s="69" t="s">
        <v>81</v>
      </c>
      <c r="AO21" s="69" t="s">
        <v>81</v>
      </c>
      <c r="AP21" s="69" t="s">
        <v>81</v>
      </c>
      <c r="AQ21" s="69" t="s">
        <v>81</v>
      </c>
      <c r="AR21" s="47"/>
      <c r="AS21" s="47"/>
      <c r="AT21" s="47"/>
      <c r="AU21" s="57" t="s">
        <v>81</v>
      </c>
      <c r="AV21" s="57" t="s">
        <v>81</v>
      </c>
      <c r="AW21" s="47"/>
      <c r="AX21" s="47"/>
      <c r="AY21" s="47"/>
      <c r="AZ21" s="47"/>
      <c r="BA21" s="47"/>
      <c r="BB21" s="57" t="s">
        <v>81</v>
      </c>
      <c r="BC21" s="57" t="s">
        <v>81</v>
      </c>
      <c r="BD21" s="47"/>
      <c r="BE21" s="47"/>
      <c r="BF21" s="47"/>
      <c r="BG21" s="47"/>
      <c r="BH21" s="47"/>
      <c r="BI21" s="57" t="s">
        <v>81</v>
      </c>
      <c r="BJ21" s="57" t="s">
        <v>81</v>
      </c>
      <c r="BK21" s="47"/>
      <c r="BL21" s="47"/>
    </row>
    <row r="22" spans="1:64" x14ac:dyDescent="0.25">
      <c r="A22" s="65" t="s">
        <v>81</v>
      </c>
      <c r="B22" s="58" t="s">
        <v>100</v>
      </c>
      <c r="C22" s="59">
        <v>46160</v>
      </c>
      <c r="D22" s="59">
        <v>46164</v>
      </c>
      <c r="E22" s="58">
        <v>5</v>
      </c>
      <c r="F22" s="58">
        <v>36</v>
      </c>
      <c r="G22" s="47"/>
      <c r="H22" s="47"/>
      <c r="I22" s="47"/>
      <c r="J22" s="47"/>
      <c r="K22" s="47"/>
      <c r="L22" s="57" t="s">
        <v>81</v>
      </c>
      <c r="M22" s="57" t="s">
        <v>81</v>
      </c>
      <c r="N22" s="47"/>
      <c r="O22" s="47"/>
      <c r="P22" s="47"/>
      <c r="Q22" s="47"/>
      <c r="R22" s="47"/>
      <c r="S22" s="57" t="s">
        <v>81</v>
      </c>
      <c r="T22" s="57" t="s">
        <v>81</v>
      </c>
      <c r="U22" s="69" t="s">
        <v>81</v>
      </c>
      <c r="V22" s="69" t="s">
        <v>81</v>
      </c>
      <c r="W22" s="69" t="s">
        <v>81</v>
      </c>
      <c r="X22" s="69" t="s">
        <v>81</v>
      </c>
      <c r="Y22" s="69" t="s">
        <v>81</v>
      </c>
      <c r="Z22" s="57" t="s">
        <v>81</v>
      </c>
      <c r="AA22" s="57" t="s">
        <v>81</v>
      </c>
      <c r="AB22" s="47"/>
      <c r="AC22" s="47"/>
      <c r="AD22" s="47"/>
      <c r="AE22" s="47"/>
      <c r="AF22" s="47"/>
      <c r="AG22" s="57" t="s">
        <v>81</v>
      </c>
      <c r="AH22" s="57" t="s">
        <v>81</v>
      </c>
      <c r="AI22" s="47"/>
      <c r="AJ22" s="47"/>
      <c r="AK22" s="47"/>
      <c r="AL22" s="47"/>
      <c r="AM22" s="47"/>
      <c r="AN22" s="57" t="s">
        <v>81</v>
      </c>
      <c r="AO22" s="57" t="s">
        <v>81</v>
      </c>
      <c r="AP22" s="47"/>
      <c r="AQ22" s="47"/>
      <c r="AR22" s="47"/>
      <c r="AS22" s="47"/>
      <c r="AT22" s="47"/>
      <c r="AU22" s="57" t="s">
        <v>81</v>
      </c>
      <c r="AV22" s="57" t="s">
        <v>81</v>
      </c>
      <c r="AW22" s="47"/>
      <c r="AX22" s="47"/>
      <c r="AY22" s="47"/>
      <c r="AZ22" s="47"/>
      <c r="BA22" s="47"/>
      <c r="BB22" s="57" t="s">
        <v>81</v>
      </c>
      <c r="BC22" s="57" t="s">
        <v>81</v>
      </c>
      <c r="BD22" s="47"/>
      <c r="BE22" s="47"/>
      <c r="BF22" s="47"/>
      <c r="BG22" s="47"/>
      <c r="BH22" s="47"/>
      <c r="BI22" s="57" t="s">
        <v>81</v>
      </c>
      <c r="BJ22" s="57" t="s">
        <v>81</v>
      </c>
      <c r="BK22" s="47"/>
      <c r="BL22" s="47"/>
    </row>
    <row r="23" spans="1:64" x14ac:dyDescent="0.25">
      <c r="A23" s="65" t="s">
        <v>81</v>
      </c>
      <c r="B23" s="58" t="s">
        <v>101</v>
      </c>
      <c r="C23" s="59">
        <v>46163</v>
      </c>
      <c r="D23" s="59">
        <v>46164</v>
      </c>
      <c r="E23" s="58">
        <v>2</v>
      </c>
      <c r="F23" s="58">
        <v>12</v>
      </c>
      <c r="G23" s="47"/>
      <c r="H23" s="47"/>
      <c r="I23" s="47"/>
      <c r="J23" s="47"/>
      <c r="K23" s="47"/>
      <c r="L23" s="57" t="s">
        <v>81</v>
      </c>
      <c r="M23" s="57" t="s">
        <v>81</v>
      </c>
      <c r="N23" s="47"/>
      <c r="O23" s="47"/>
      <c r="P23" s="47"/>
      <c r="Q23" s="47"/>
      <c r="R23" s="47"/>
      <c r="S23" s="57" t="s">
        <v>81</v>
      </c>
      <c r="T23" s="57" t="s">
        <v>81</v>
      </c>
      <c r="U23" s="47"/>
      <c r="V23" s="47"/>
      <c r="W23" s="47"/>
      <c r="X23" s="69" t="s">
        <v>81</v>
      </c>
      <c r="Y23" s="69" t="s">
        <v>81</v>
      </c>
      <c r="Z23" s="57" t="s">
        <v>81</v>
      </c>
      <c r="AA23" s="57" t="s">
        <v>81</v>
      </c>
      <c r="AB23" s="47"/>
      <c r="AC23" s="47"/>
      <c r="AD23" s="47"/>
      <c r="AE23" s="47"/>
      <c r="AF23" s="47"/>
      <c r="AG23" s="57" t="s">
        <v>81</v>
      </c>
      <c r="AH23" s="57" t="s">
        <v>81</v>
      </c>
      <c r="AI23" s="47"/>
      <c r="AJ23" s="47"/>
      <c r="AK23" s="47"/>
      <c r="AL23" s="47"/>
      <c r="AM23" s="47"/>
      <c r="AN23" s="57" t="s">
        <v>81</v>
      </c>
      <c r="AO23" s="57" t="s">
        <v>81</v>
      </c>
      <c r="AP23" s="47"/>
      <c r="AQ23" s="47"/>
      <c r="AR23" s="47"/>
      <c r="AS23" s="47"/>
      <c r="AT23" s="47"/>
      <c r="AU23" s="57" t="s">
        <v>81</v>
      </c>
      <c r="AV23" s="57" t="s">
        <v>81</v>
      </c>
      <c r="AW23" s="47"/>
      <c r="AX23" s="47"/>
      <c r="AY23" s="47"/>
      <c r="AZ23" s="47"/>
      <c r="BA23" s="47"/>
      <c r="BB23" s="57" t="s">
        <v>81</v>
      </c>
      <c r="BC23" s="57" t="s">
        <v>81</v>
      </c>
      <c r="BD23" s="47"/>
      <c r="BE23" s="47"/>
      <c r="BF23" s="47"/>
      <c r="BG23" s="47"/>
      <c r="BH23" s="47"/>
      <c r="BI23" s="57" t="s">
        <v>81</v>
      </c>
      <c r="BJ23" s="57" t="s">
        <v>81</v>
      </c>
      <c r="BK23" s="47"/>
      <c r="BL23" s="47"/>
    </row>
    <row r="24" spans="1:64" x14ac:dyDescent="0.25">
      <c r="A24" s="65" t="s">
        <v>81</v>
      </c>
      <c r="B24" s="58" t="s">
        <v>102</v>
      </c>
      <c r="C24" s="59">
        <v>46167</v>
      </c>
      <c r="D24" s="59">
        <v>46168</v>
      </c>
      <c r="E24" s="58">
        <v>2</v>
      </c>
      <c r="F24" s="58">
        <v>16</v>
      </c>
      <c r="G24" s="47"/>
      <c r="H24" s="47"/>
      <c r="I24" s="47"/>
      <c r="J24" s="47"/>
      <c r="K24" s="47"/>
      <c r="L24" s="57" t="s">
        <v>81</v>
      </c>
      <c r="M24" s="57" t="s">
        <v>81</v>
      </c>
      <c r="N24" s="47"/>
      <c r="O24" s="47"/>
      <c r="P24" s="47"/>
      <c r="Q24" s="47"/>
      <c r="R24" s="47"/>
      <c r="S24" s="57" t="s">
        <v>81</v>
      </c>
      <c r="T24" s="57" t="s">
        <v>81</v>
      </c>
      <c r="U24" s="47"/>
      <c r="V24" s="47"/>
      <c r="W24" s="47"/>
      <c r="X24" s="47"/>
      <c r="Y24" s="47"/>
      <c r="Z24" s="57" t="s">
        <v>81</v>
      </c>
      <c r="AA24" s="57" t="s">
        <v>81</v>
      </c>
      <c r="AB24" s="69" t="s">
        <v>81</v>
      </c>
      <c r="AC24" s="69" t="s">
        <v>81</v>
      </c>
      <c r="AD24" s="47"/>
      <c r="AE24" s="47"/>
      <c r="AF24" s="47"/>
      <c r="AG24" s="57" t="s">
        <v>81</v>
      </c>
      <c r="AH24" s="57" t="s">
        <v>81</v>
      </c>
      <c r="AI24" s="47"/>
      <c r="AJ24" s="47"/>
      <c r="AK24" s="47"/>
      <c r="AL24" s="47"/>
      <c r="AM24" s="47"/>
      <c r="AN24" s="57" t="s">
        <v>81</v>
      </c>
      <c r="AO24" s="57" t="s">
        <v>81</v>
      </c>
      <c r="AP24" s="47"/>
      <c r="AQ24" s="47"/>
      <c r="AR24" s="47"/>
      <c r="AS24" s="47"/>
      <c r="AT24" s="47"/>
      <c r="AU24" s="57" t="s">
        <v>81</v>
      </c>
      <c r="AV24" s="57" t="s">
        <v>81</v>
      </c>
      <c r="AW24" s="47"/>
      <c r="AX24" s="47"/>
      <c r="AY24" s="47"/>
      <c r="AZ24" s="47"/>
      <c r="BA24" s="47"/>
      <c r="BB24" s="57" t="s">
        <v>81</v>
      </c>
      <c r="BC24" s="57" t="s">
        <v>81</v>
      </c>
      <c r="BD24" s="47"/>
      <c r="BE24" s="47"/>
      <c r="BF24" s="47"/>
      <c r="BG24" s="47"/>
      <c r="BH24" s="47"/>
      <c r="BI24" s="57" t="s">
        <v>81</v>
      </c>
      <c r="BJ24" s="57" t="s">
        <v>81</v>
      </c>
      <c r="BK24" s="47"/>
      <c r="BL24" s="47"/>
    </row>
    <row r="25" spans="1:64" x14ac:dyDescent="0.25">
      <c r="A25" s="65" t="s">
        <v>81</v>
      </c>
      <c r="B25" s="58" t="s">
        <v>103</v>
      </c>
      <c r="C25" s="59">
        <v>46169</v>
      </c>
      <c r="D25" s="59">
        <v>46175</v>
      </c>
      <c r="E25" s="58">
        <v>5</v>
      </c>
      <c r="F25" s="58">
        <v>36</v>
      </c>
      <c r="G25" s="47"/>
      <c r="H25" s="47"/>
      <c r="I25" s="47"/>
      <c r="J25" s="47"/>
      <c r="K25" s="47"/>
      <c r="L25" s="57" t="s">
        <v>81</v>
      </c>
      <c r="M25" s="57" t="s">
        <v>81</v>
      </c>
      <c r="N25" s="47"/>
      <c r="O25" s="47"/>
      <c r="P25" s="47"/>
      <c r="Q25" s="47"/>
      <c r="R25" s="47"/>
      <c r="S25" s="57" t="s">
        <v>81</v>
      </c>
      <c r="T25" s="57" t="s">
        <v>81</v>
      </c>
      <c r="U25" s="47"/>
      <c r="V25" s="47"/>
      <c r="W25" s="47"/>
      <c r="X25" s="47"/>
      <c r="Y25" s="47"/>
      <c r="Z25" s="57" t="s">
        <v>81</v>
      </c>
      <c r="AA25" s="57" t="s">
        <v>81</v>
      </c>
      <c r="AB25" s="47"/>
      <c r="AC25" s="47"/>
      <c r="AD25" s="69" t="s">
        <v>81</v>
      </c>
      <c r="AE25" s="69" t="s">
        <v>81</v>
      </c>
      <c r="AF25" s="69" t="s">
        <v>81</v>
      </c>
      <c r="AG25" s="69" t="s">
        <v>81</v>
      </c>
      <c r="AH25" s="69" t="s">
        <v>81</v>
      </c>
      <c r="AI25" s="69" t="s">
        <v>81</v>
      </c>
      <c r="AJ25" s="69" t="s">
        <v>81</v>
      </c>
      <c r="AK25" s="47"/>
      <c r="AL25" s="47"/>
      <c r="AM25" s="47"/>
      <c r="AN25" s="57" t="s">
        <v>81</v>
      </c>
      <c r="AO25" s="57" t="s">
        <v>81</v>
      </c>
      <c r="AP25" s="47"/>
      <c r="AQ25" s="47"/>
      <c r="AR25" s="47"/>
      <c r="AS25" s="47"/>
      <c r="AT25" s="47"/>
      <c r="AU25" s="57" t="s">
        <v>81</v>
      </c>
      <c r="AV25" s="57" t="s">
        <v>81</v>
      </c>
      <c r="AW25" s="47"/>
      <c r="AX25" s="47"/>
      <c r="AY25" s="47"/>
      <c r="AZ25" s="47"/>
      <c r="BA25" s="47"/>
      <c r="BB25" s="57" t="s">
        <v>81</v>
      </c>
      <c r="BC25" s="57" t="s">
        <v>81</v>
      </c>
      <c r="BD25" s="47"/>
      <c r="BE25" s="47"/>
      <c r="BF25" s="47"/>
      <c r="BG25" s="47"/>
      <c r="BH25" s="47"/>
      <c r="BI25" s="57" t="s">
        <v>81</v>
      </c>
      <c r="BJ25" s="57" t="s">
        <v>81</v>
      </c>
      <c r="BK25" s="47"/>
      <c r="BL25" s="47"/>
    </row>
    <row r="26" spans="1:64" x14ac:dyDescent="0.25">
      <c r="A26" s="65" t="s">
        <v>81</v>
      </c>
      <c r="B26" s="58" t="s">
        <v>104</v>
      </c>
      <c r="C26" s="59">
        <v>46175</v>
      </c>
      <c r="D26" s="59">
        <v>46182</v>
      </c>
      <c r="E26" s="58">
        <v>7</v>
      </c>
      <c r="F26" s="58">
        <v>52</v>
      </c>
      <c r="G26" s="47"/>
      <c r="H26" s="47"/>
      <c r="I26" s="47"/>
      <c r="J26" s="47"/>
      <c r="K26" s="47"/>
      <c r="L26" s="57" t="s">
        <v>81</v>
      </c>
      <c r="M26" s="57" t="s">
        <v>81</v>
      </c>
      <c r="N26" s="47"/>
      <c r="O26" s="47"/>
      <c r="P26" s="47"/>
      <c r="Q26" s="47"/>
      <c r="R26" s="47"/>
      <c r="S26" s="57" t="s">
        <v>81</v>
      </c>
      <c r="T26" s="57" t="s">
        <v>81</v>
      </c>
      <c r="U26" s="47"/>
      <c r="V26" s="47"/>
      <c r="W26" s="47"/>
      <c r="X26" s="47"/>
      <c r="Y26" s="47"/>
      <c r="Z26" s="57" t="s">
        <v>81</v>
      </c>
      <c r="AA26" s="57" t="s">
        <v>81</v>
      </c>
      <c r="AB26" s="47"/>
      <c r="AC26" s="47"/>
      <c r="AD26" s="47"/>
      <c r="AE26" s="47"/>
      <c r="AF26" s="47"/>
      <c r="AG26" s="57" t="s">
        <v>81</v>
      </c>
      <c r="AH26" s="57" t="s">
        <v>81</v>
      </c>
      <c r="AI26" s="47"/>
      <c r="AJ26" s="69" t="s">
        <v>81</v>
      </c>
      <c r="AK26" s="69" t="s">
        <v>81</v>
      </c>
      <c r="AL26" s="69" t="s">
        <v>81</v>
      </c>
      <c r="AM26" s="69" t="s">
        <v>81</v>
      </c>
      <c r="AN26" s="69" t="s">
        <v>81</v>
      </c>
      <c r="AO26" s="69" t="s">
        <v>81</v>
      </c>
      <c r="AP26" s="69" t="s">
        <v>81</v>
      </c>
      <c r="AQ26" s="47"/>
      <c r="AR26" s="47"/>
      <c r="AS26" s="47"/>
      <c r="AT26" s="47"/>
      <c r="AU26" s="57" t="s">
        <v>81</v>
      </c>
      <c r="AV26" s="57" t="s">
        <v>81</v>
      </c>
      <c r="AW26" s="47"/>
      <c r="AX26" s="47"/>
      <c r="AY26" s="47"/>
      <c r="AZ26" s="47"/>
      <c r="BA26" s="47"/>
      <c r="BB26" s="57" t="s">
        <v>81</v>
      </c>
      <c r="BC26" s="57" t="s">
        <v>81</v>
      </c>
      <c r="BD26" s="47"/>
      <c r="BE26" s="47"/>
      <c r="BF26" s="47"/>
      <c r="BG26" s="47"/>
      <c r="BH26" s="47"/>
      <c r="BI26" s="57" t="s">
        <v>81</v>
      </c>
      <c r="BJ26" s="57" t="s">
        <v>81</v>
      </c>
      <c r="BK26" s="47"/>
      <c r="BL26" s="47"/>
    </row>
    <row r="27" spans="1:64" x14ac:dyDescent="0.25">
      <c r="A27" s="65" t="s">
        <v>81</v>
      </c>
      <c r="B27" s="58" t="s">
        <v>105</v>
      </c>
      <c r="C27" s="59">
        <v>46183</v>
      </c>
      <c r="D27" s="59">
        <v>46188</v>
      </c>
      <c r="E27" s="58">
        <v>5</v>
      </c>
      <c r="F27" s="58">
        <v>52</v>
      </c>
      <c r="G27" s="47"/>
      <c r="H27" s="47"/>
      <c r="I27" s="47"/>
      <c r="J27" s="47"/>
      <c r="K27" s="47"/>
      <c r="L27" s="57" t="s">
        <v>81</v>
      </c>
      <c r="M27" s="57" t="s">
        <v>81</v>
      </c>
      <c r="N27" s="47"/>
      <c r="O27" s="47"/>
      <c r="P27" s="47"/>
      <c r="Q27" s="47"/>
      <c r="R27" s="47"/>
      <c r="S27" s="57" t="s">
        <v>81</v>
      </c>
      <c r="T27" s="57" t="s">
        <v>81</v>
      </c>
      <c r="U27" s="47"/>
      <c r="V27" s="47"/>
      <c r="W27" s="47"/>
      <c r="X27" s="47"/>
      <c r="Y27" s="47"/>
      <c r="Z27" s="57" t="s">
        <v>81</v>
      </c>
      <c r="AA27" s="57" t="s">
        <v>81</v>
      </c>
      <c r="AB27" s="47"/>
      <c r="AC27" s="47"/>
      <c r="AD27" s="47"/>
      <c r="AE27" s="47"/>
      <c r="AF27" s="47"/>
      <c r="AG27" s="57" t="s">
        <v>81</v>
      </c>
      <c r="AH27" s="57" t="s">
        <v>81</v>
      </c>
      <c r="AI27" s="47"/>
      <c r="AJ27" s="47"/>
      <c r="AK27" s="47"/>
      <c r="AL27" s="47"/>
      <c r="AM27" s="47"/>
      <c r="AN27" s="57" t="s">
        <v>81</v>
      </c>
      <c r="AO27" s="57" t="s">
        <v>81</v>
      </c>
      <c r="AP27" s="69" t="s">
        <v>81</v>
      </c>
      <c r="AQ27" s="69" t="s">
        <v>81</v>
      </c>
      <c r="AR27" s="69" t="s">
        <v>81</v>
      </c>
      <c r="AS27" s="69" t="s">
        <v>81</v>
      </c>
      <c r="AT27" s="69" t="s">
        <v>81</v>
      </c>
      <c r="AU27" s="69" t="s">
        <v>81</v>
      </c>
      <c r="AV27" s="69" t="s">
        <v>81</v>
      </c>
      <c r="AW27" s="69" t="s">
        <v>81</v>
      </c>
      <c r="AX27" s="47"/>
      <c r="AY27" s="47"/>
      <c r="AZ27" s="47"/>
      <c r="BA27" s="47"/>
      <c r="BB27" s="57" t="s">
        <v>81</v>
      </c>
      <c r="BC27" s="57" t="s">
        <v>81</v>
      </c>
      <c r="BD27" s="47"/>
      <c r="BE27" s="47"/>
      <c r="BF27" s="47"/>
      <c r="BG27" s="47"/>
      <c r="BH27" s="47"/>
      <c r="BI27" s="57" t="s">
        <v>81</v>
      </c>
      <c r="BJ27" s="57" t="s">
        <v>81</v>
      </c>
      <c r="BK27" s="47"/>
      <c r="BL27" s="47"/>
    </row>
    <row r="28" spans="1:64" x14ac:dyDescent="0.25">
      <c r="A28" s="65" t="s">
        <v>81</v>
      </c>
      <c r="B28" s="58" t="s">
        <v>106</v>
      </c>
      <c r="C28" s="59">
        <v>46189</v>
      </c>
      <c r="D28" s="59">
        <v>46191</v>
      </c>
      <c r="E28" s="58">
        <v>2</v>
      </c>
      <c r="F28" s="58">
        <v>40</v>
      </c>
      <c r="G28" s="47"/>
      <c r="H28" s="47"/>
      <c r="I28" s="47"/>
      <c r="J28" s="47"/>
      <c r="K28" s="47"/>
      <c r="L28" s="57" t="s">
        <v>81</v>
      </c>
      <c r="M28" s="57" t="s">
        <v>81</v>
      </c>
      <c r="N28" s="47"/>
      <c r="O28" s="47"/>
      <c r="P28" s="47"/>
      <c r="Q28" s="47"/>
      <c r="R28" s="47"/>
      <c r="S28" s="57" t="s">
        <v>81</v>
      </c>
      <c r="T28" s="57" t="s">
        <v>81</v>
      </c>
      <c r="U28" s="47"/>
      <c r="V28" s="47"/>
      <c r="W28" s="47"/>
      <c r="X28" s="47"/>
      <c r="Y28" s="47"/>
      <c r="Z28" s="57" t="s">
        <v>81</v>
      </c>
      <c r="AA28" s="57" t="s">
        <v>81</v>
      </c>
      <c r="AB28" s="47"/>
      <c r="AC28" s="47"/>
      <c r="AD28" s="47"/>
      <c r="AE28" s="47"/>
      <c r="AF28" s="47"/>
      <c r="AG28" s="57" t="s">
        <v>81</v>
      </c>
      <c r="AH28" s="57" t="s">
        <v>81</v>
      </c>
      <c r="AI28" s="47"/>
      <c r="AJ28" s="47"/>
      <c r="AK28" s="47"/>
      <c r="AL28" s="47"/>
      <c r="AM28" s="47"/>
      <c r="AN28" s="57" t="s">
        <v>81</v>
      </c>
      <c r="AO28" s="57" t="s">
        <v>81</v>
      </c>
      <c r="AP28" s="47"/>
      <c r="AQ28" s="47"/>
      <c r="AR28" s="47"/>
      <c r="AS28" s="47"/>
      <c r="AT28" s="47"/>
      <c r="AU28" s="57" t="s">
        <v>81</v>
      </c>
      <c r="AV28" s="57" t="s">
        <v>81</v>
      </c>
      <c r="AW28" s="47"/>
      <c r="AX28" s="69" t="s">
        <v>81</v>
      </c>
      <c r="AY28" s="69" t="s">
        <v>81</v>
      </c>
      <c r="AZ28" s="69" t="s">
        <v>81</v>
      </c>
      <c r="BA28" s="47"/>
      <c r="BB28" s="57" t="s">
        <v>81</v>
      </c>
      <c r="BC28" s="57" t="s">
        <v>81</v>
      </c>
      <c r="BD28" s="47"/>
      <c r="BE28" s="47"/>
      <c r="BF28" s="47"/>
      <c r="BG28" s="47"/>
      <c r="BH28" s="47"/>
      <c r="BI28" s="57" t="s">
        <v>81</v>
      </c>
      <c r="BJ28" s="57" t="s">
        <v>81</v>
      </c>
      <c r="BK28" s="47"/>
      <c r="BL28" s="47"/>
    </row>
    <row r="29" spans="1:64" x14ac:dyDescent="0.25">
      <c r="A29" s="70" t="s">
        <v>81</v>
      </c>
      <c r="B29" s="71" t="s">
        <v>21</v>
      </c>
      <c r="C29" s="73">
        <v>46185</v>
      </c>
      <c r="D29" s="73">
        <v>46203</v>
      </c>
      <c r="E29" s="72">
        <v>20</v>
      </c>
      <c r="F29" s="72" t="s">
        <v>107</v>
      </c>
      <c r="G29" s="47"/>
      <c r="H29" s="47"/>
      <c r="I29" s="47"/>
      <c r="J29" s="47"/>
      <c r="K29" s="47"/>
      <c r="L29" s="57" t="s">
        <v>81</v>
      </c>
      <c r="M29" s="57" t="s">
        <v>81</v>
      </c>
      <c r="N29" s="47"/>
      <c r="O29" s="47"/>
      <c r="P29" s="47"/>
      <c r="Q29" s="47"/>
      <c r="R29" s="47"/>
      <c r="S29" s="57" t="s">
        <v>81</v>
      </c>
      <c r="T29" s="57" t="s">
        <v>81</v>
      </c>
      <c r="U29" s="47"/>
      <c r="V29" s="47"/>
      <c r="W29" s="47"/>
      <c r="X29" s="47"/>
      <c r="Y29" s="47"/>
      <c r="Z29" s="57" t="s">
        <v>81</v>
      </c>
      <c r="AA29" s="57" t="s">
        <v>81</v>
      </c>
      <c r="AB29" s="47"/>
      <c r="AC29" s="47"/>
      <c r="AD29" s="47"/>
      <c r="AE29" s="47"/>
      <c r="AF29" s="47"/>
      <c r="AG29" s="57" t="s">
        <v>81</v>
      </c>
      <c r="AH29" s="57" t="s">
        <v>81</v>
      </c>
      <c r="AI29" s="47"/>
      <c r="AJ29" s="47"/>
      <c r="AK29" s="47"/>
      <c r="AL29" s="47"/>
      <c r="AM29" s="47"/>
      <c r="AN29" s="57" t="s">
        <v>81</v>
      </c>
      <c r="AO29" s="57" t="s">
        <v>81</v>
      </c>
      <c r="AP29" s="47"/>
      <c r="AQ29" s="47"/>
      <c r="AR29" s="47"/>
      <c r="AS29" s="47"/>
      <c r="AT29" s="74" t="s">
        <v>81</v>
      </c>
      <c r="AU29" s="74" t="s">
        <v>81</v>
      </c>
      <c r="AV29" s="74" t="s">
        <v>81</v>
      </c>
      <c r="AW29" s="74" t="s">
        <v>81</v>
      </c>
      <c r="AX29" s="74" t="s">
        <v>81</v>
      </c>
      <c r="AY29" s="74" t="s">
        <v>81</v>
      </c>
      <c r="AZ29" s="74" t="s">
        <v>81</v>
      </c>
      <c r="BA29" s="74" t="s">
        <v>81</v>
      </c>
      <c r="BB29" s="74" t="s">
        <v>81</v>
      </c>
      <c r="BC29" s="74" t="s">
        <v>81</v>
      </c>
      <c r="BD29" s="74" t="s">
        <v>81</v>
      </c>
      <c r="BE29" s="74" t="s">
        <v>81</v>
      </c>
      <c r="BF29" s="74" t="s">
        <v>81</v>
      </c>
      <c r="BG29" s="74" t="s">
        <v>81</v>
      </c>
      <c r="BH29" s="74" t="s">
        <v>81</v>
      </c>
      <c r="BI29" s="74" t="s">
        <v>81</v>
      </c>
      <c r="BJ29" s="74" t="s">
        <v>81</v>
      </c>
      <c r="BK29" s="74" t="s">
        <v>81</v>
      </c>
      <c r="BL29" s="74" t="s">
        <v>81</v>
      </c>
    </row>
    <row r="30" spans="1:64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</row>
    <row r="31" spans="1:64" ht="34.5" x14ac:dyDescent="0.25">
      <c r="A31" s="47"/>
      <c r="B31" s="75" t="s">
        <v>108</v>
      </c>
      <c r="C31" s="76" t="s">
        <v>109</v>
      </c>
      <c r="D31" s="77" t="s">
        <v>110</v>
      </c>
      <c r="E31" s="78" t="s">
        <v>111</v>
      </c>
      <c r="F31" s="79" t="s">
        <v>112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</row>
    <row r="32" spans="1:64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</row>
    <row r="33" spans="1:64" x14ac:dyDescent="0.25">
      <c r="A33" s="47"/>
      <c r="B33" s="110" t="s">
        <v>113</v>
      </c>
      <c r="C33" s="110"/>
      <c r="D33" s="110"/>
      <c r="E33" s="110"/>
      <c r="F33" s="110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</row>
    <row r="34" spans="1:64" x14ac:dyDescent="0.25">
      <c r="A34" s="47"/>
      <c r="B34" s="110" t="s">
        <v>114</v>
      </c>
      <c r="C34" s="110"/>
      <c r="D34" s="110"/>
      <c r="E34" s="110"/>
      <c r="F34" s="110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spans="1:64" x14ac:dyDescent="0.25">
      <c r="A35" s="47"/>
      <c r="B35" s="110" t="s">
        <v>115</v>
      </c>
      <c r="C35" s="110"/>
      <c r="D35" s="110"/>
      <c r="E35" s="110"/>
      <c r="F35" s="110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</row>
    <row r="36" spans="1:64" x14ac:dyDescent="0.25">
      <c r="A36" s="47"/>
      <c r="B36" s="110" t="s">
        <v>116</v>
      </c>
      <c r="C36" s="110"/>
      <c r="D36" s="110"/>
      <c r="E36" s="110"/>
      <c r="F36" s="110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</row>
  </sheetData>
  <mergeCells count="7">
    <mergeCell ref="B36:F36"/>
    <mergeCell ref="A1:F1"/>
    <mergeCell ref="G2:AH2"/>
    <mergeCell ref="AI2:BL2"/>
    <mergeCell ref="B33:F33"/>
    <mergeCell ref="B34:F34"/>
    <mergeCell ref="B35:F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1229-0746-4348-BA21-0F47A4646CD5}">
  <sheetPr>
    <tabColor theme="5"/>
  </sheetPr>
  <dimension ref="A1:N52"/>
  <sheetViews>
    <sheetView tabSelected="1" zoomScale="130" zoomScaleNormal="130" workbookViewId="0">
      <pane ySplit="1" topLeftCell="A35" activePane="bottomLeft" state="frozen"/>
      <selection pane="bottomLeft" activeCell="G41" sqref="G41:G43"/>
    </sheetView>
  </sheetViews>
  <sheetFormatPr defaultColWidth="8.85546875" defaultRowHeight="15" x14ac:dyDescent="0.25"/>
  <cols>
    <col min="1" max="1" width="6" style="19" bestFit="1" customWidth="1"/>
    <col min="2" max="2" width="21" style="19" bestFit="1" customWidth="1"/>
    <col min="3" max="3" width="21.7109375" style="19" bestFit="1" customWidth="1"/>
    <col min="4" max="4" width="33.7109375" style="19" bestFit="1" customWidth="1"/>
    <col min="5" max="5" width="36" style="19" customWidth="1"/>
    <col min="6" max="6" width="29" style="19" customWidth="1"/>
    <col min="7" max="7" width="25.5703125" style="19" customWidth="1"/>
    <col min="8" max="8" width="7.42578125" style="19" customWidth="1"/>
    <col min="9" max="9" width="8.85546875" style="19"/>
    <col min="10" max="10" width="12" style="19" customWidth="1"/>
    <col min="11" max="11" width="17.28515625" style="19" customWidth="1"/>
    <col min="12" max="12" width="16.7109375" style="19" customWidth="1"/>
    <col min="13" max="13" width="15.7109375" style="19" customWidth="1"/>
    <col min="14" max="14" width="14.28515625" style="19" customWidth="1"/>
    <col min="15" max="16384" width="8.85546875" style="19"/>
  </cols>
  <sheetData>
    <row r="1" spans="1:14" s="12" customFormat="1" x14ac:dyDescent="0.25">
      <c r="A1" s="14" t="s">
        <v>23</v>
      </c>
      <c r="B1" s="14" t="s">
        <v>10</v>
      </c>
      <c r="C1" s="14" t="s">
        <v>117</v>
      </c>
      <c r="D1" s="14" t="s">
        <v>118</v>
      </c>
      <c r="E1" s="15" t="s">
        <v>25</v>
      </c>
      <c r="F1" s="16" t="s">
        <v>119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27</v>
      </c>
      <c r="L1" s="17" t="s">
        <v>28</v>
      </c>
      <c r="M1" s="13" t="s">
        <v>124</v>
      </c>
      <c r="N1" s="13" t="s">
        <v>125</v>
      </c>
    </row>
    <row r="2" spans="1:14" x14ac:dyDescent="0.25">
      <c r="A2" s="117" t="s">
        <v>126</v>
      </c>
      <c r="B2" s="117"/>
      <c r="C2" s="117"/>
      <c r="D2" s="117"/>
      <c r="E2" s="117"/>
      <c r="F2" s="18"/>
      <c r="G2" s="18"/>
      <c r="H2" s="18"/>
      <c r="I2" s="18"/>
      <c r="J2" s="18"/>
      <c r="K2" s="18"/>
      <c r="L2" s="18"/>
      <c r="M2" s="18"/>
      <c r="N2" s="18"/>
    </row>
    <row r="3" spans="1:14" ht="32.25" customHeight="1" x14ac:dyDescent="0.25">
      <c r="A3" s="116">
        <v>1</v>
      </c>
      <c r="B3" s="118" t="s">
        <v>127</v>
      </c>
      <c r="C3" s="20" t="s">
        <v>128</v>
      </c>
      <c r="D3" s="21" t="s">
        <v>129</v>
      </c>
      <c r="E3" s="21" t="s">
        <v>130</v>
      </c>
      <c r="F3" s="123" t="s">
        <v>248</v>
      </c>
      <c r="G3" s="18"/>
      <c r="H3" s="18"/>
      <c r="I3" s="18"/>
      <c r="J3" s="18"/>
      <c r="K3" s="18"/>
      <c r="L3" s="18"/>
      <c r="M3" s="18"/>
      <c r="N3" s="18"/>
    </row>
    <row r="4" spans="1:14" ht="31.5" customHeight="1" x14ac:dyDescent="0.25">
      <c r="A4" s="116"/>
      <c r="B4" s="118"/>
      <c r="C4" s="20" t="s">
        <v>131</v>
      </c>
      <c r="D4" s="21" t="s">
        <v>132</v>
      </c>
      <c r="E4" s="21" t="s">
        <v>133</v>
      </c>
      <c r="F4" s="122" t="s">
        <v>249</v>
      </c>
      <c r="G4" s="18"/>
      <c r="H4" s="18"/>
      <c r="I4" s="18"/>
      <c r="J4" s="18"/>
      <c r="K4" s="18"/>
      <c r="L4" s="18"/>
      <c r="M4" s="18"/>
      <c r="N4" s="18"/>
    </row>
    <row r="5" spans="1:14" ht="17.25" customHeight="1" x14ac:dyDescent="0.25">
      <c r="A5" s="116"/>
      <c r="B5" s="118"/>
      <c r="C5" s="20" t="s">
        <v>134</v>
      </c>
      <c r="D5" s="124" t="s">
        <v>135</v>
      </c>
      <c r="E5" s="124" t="s">
        <v>136</v>
      </c>
      <c r="F5" s="121" t="s">
        <v>250</v>
      </c>
      <c r="G5" s="18"/>
      <c r="H5" s="18"/>
      <c r="I5" s="18"/>
      <c r="J5" s="18"/>
      <c r="K5" s="18"/>
      <c r="L5" s="18"/>
      <c r="M5" s="18"/>
      <c r="N5" s="18"/>
    </row>
    <row r="6" spans="1:14" x14ac:dyDescent="0.25">
      <c r="A6" s="117" t="s">
        <v>137</v>
      </c>
      <c r="B6" s="117"/>
      <c r="C6" s="117"/>
      <c r="D6" s="117"/>
      <c r="E6" s="117"/>
      <c r="F6" s="18"/>
      <c r="G6" s="18"/>
      <c r="H6" s="18"/>
      <c r="I6" s="18"/>
      <c r="J6" s="18"/>
      <c r="K6" s="18"/>
      <c r="L6" s="18"/>
      <c r="M6" s="18"/>
      <c r="N6" s="18"/>
    </row>
    <row r="7" spans="1:14" ht="30" x14ac:dyDescent="0.25">
      <c r="A7" s="116">
        <v>2</v>
      </c>
      <c r="B7" s="116" t="s">
        <v>138</v>
      </c>
      <c r="C7" s="119" t="s">
        <v>55</v>
      </c>
      <c r="D7" s="21" t="s">
        <v>139</v>
      </c>
      <c r="E7" s="21" t="s">
        <v>140</v>
      </c>
      <c r="F7" s="123" t="s">
        <v>248</v>
      </c>
      <c r="G7" s="18"/>
      <c r="H7" s="18"/>
      <c r="I7" s="18"/>
      <c r="J7" s="18"/>
      <c r="K7" s="18"/>
      <c r="L7" s="18"/>
      <c r="M7" s="18"/>
      <c r="N7" s="18"/>
    </row>
    <row r="8" spans="1:14" ht="31.5" customHeight="1" x14ac:dyDescent="0.25">
      <c r="A8" s="116"/>
      <c r="B8" s="116"/>
      <c r="C8" s="119"/>
      <c r="D8" s="21" t="s">
        <v>141</v>
      </c>
      <c r="E8" s="21" t="s">
        <v>142</v>
      </c>
      <c r="F8" s="123" t="s">
        <v>248</v>
      </c>
      <c r="G8" s="18"/>
      <c r="H8" s="18"/>
      <c r="I8" s="18"/>
      <c r="J8" s="18"/>
      <c r="K8" s="18"/>
      <c r="L8" s="18"/>
      <c r="M8" s="18"/>
      <c r="N8" s="18"/>
    </row>
    <row r="9" spans="1:14" ht="30" x14ac:dyDescent="0.25">
      <c r="A9" s="116"/>
      <c r="B9" s="116"/>
      <c r="C9" s="119"/>
      <c r="D9" s="21" t="s">
        <v>143</v>
      </c>
      <c r="E9" s="21" t="s">
        <v>144</v>
      </c>
      <c r="F9" s="123" t="s">
        <v>248</v>
      </c>
      <c r="G9" s="18"/>
      <c r="H9" s="18"/>
      <c r="I9" s="18"/>
      <c r="J9" s="18"/>
      <c r="K9" s="18"/>
      <c r="L9" s="18"/>
      <c r="M9" s="18"/>
      <c r="N9" s="18"/>
    </row>
    <row r="10" spans="1:14" ht="33.75" customHeight="1" x14ac:dyDescent="0.25">
      <c r="A10" s="116"/>
      <c r="B10" s="116"/>
      <c r="C10" s="119"/>
      <c r="D10" s="21" t="s">
        <v>145</v>
      </c>
      <c r="E10" s="21" t="s">
        <v>146</v>
      </c>
      <c r="F10" s="123" t="s">
        <v>248</v>
      </c>
      <c r="G10" s="18"/>
      <c r="H10" s="18"/>
      <c r="I10" s="18"/>
      <c r="J10" s="18"/>
      <c r="K10" s="18"/>
      <c r="L10" s="18"/>
      <c r="M10" s="18"/>
      <c r="N10" s="18"/>
    </row>
    <row r="11" spans="1:14" ht="29.25" customHeight="1" x14ac:dyDescent="0.25">
      <c r="A11" s="116"/>
      <c r="B11" s="116"/>
      <c r="C11" s="119"/>
      <c r="D11" s="21" t="s">
        <v>147</v>
      </c>
      <c r="E11" s="21" t="s">
        <v>148</v>
      </c>
      <c r="F11" s="123" t="s">
        <v>248</v>
      </c>
      <c r="G11" s="18"/>
      <c r="H11" s="18"/>
      <c r="I11" s="18"/>
      <c r="J11" s="18"/>
      <c r="K11" s="18"/>
      <c r="L11" s="18"/>
      <c r="M11" s="18"/>
      <c r="N11" s="18"/>
    </row>
    <row r="12" spans="1:14" ht="29.25" customHeight="1" x14ac:dyDescent="0.25">
      <c r="A12" s="116"/>
      <c r="B12" s="116"/>
      <c r="C12" s="119"/>
      <c r="D12" s="21" t="s">
        <v>149</v>
      </c>
      <c r="E12" s="21" t="s">
        <v>150</v>
      </c>
      <c r="F12" s="123" t="s">
        <v>248</v>
      </c>
      <c r="G12" s="18"/>
      <c r="H12" s="18"/>
      <c r="I12" s="18"/>
      <c r="J12" s="18"/>
      <c r="K12" s="18"/>
      <c r="L12" s="18"/>
      <c r="M12" s="18"/>
      <c r="N12" s="18"/>
    </row>
    <row r="13" spans="1:14" ht="29.25" customHeight="1" x14ac:dyDescent="0.25">
      <c r="A13" s="116"/>
      <c r="B13" s="116"/>
      <c r="C13" s="119"/>
      <c r="D13" s="21" t="s">
        <v>151</v>
      </c>
      <c r="E13" s="21" t="s">
        <v>152</v>
      </c>
      <c r="F13" s="123" t="s">
        <v>248</v>
      </c>
      <c r="G13" s="18"/>
      <c r="H13" s="18"/>
      <c r="I13" s="18"/>
      <c r="J13" s="18"/>
      <c r="K13" s="18"/>
      <c r="L13" s="18"/>
      <c r="M13" s="18"/>
      <c r="N13" s="18"/>
    </row>
    <row r="14" spans="1:14" ht="29.25" customHeight="1" x14ac:dyDescent="0.25">
      <c r="A14" s="116"/>
      <c r="B14" s="116"/>
      <c r="C14" s="119"/>
      <c r="D14" s="21" t="s">
        <v>153</v>
      </c>
      <c r="E14" s="21" t="s">
        <v>154</v>
      </c>
      <c r="F14" s="123" t="s">
        <v>248</v>
      </c>
      <c r="G14" s="18"/>
      <c r="H14" s="18"/>
      <c r="I14" s="18"/>
      <c r="J14" s="18"/>
      <c r="K14" s="18"/>
      <c r="L14" s="18"/>
      <c r="M14" s="18"/>
      <c r="N14" s="18"/>
    </row>
    <row r="15" spans="1:14" ht="29.25" customHeight="1" x14ac:dyDescent="0.25">
      <c r="A15" s="116"/>
      <c r="B15" s="116"/>
      <c r="C15" s="119"/>
      <c r="D15" s="21" t="s">
        <v>155</v>
      </c>
      <c r="E15" s="21" t="s">
        <v>156</v>
      </c>
      <c r="F15" s="123" t="s">
        <v>248</v>
      </c>
      <c r="G15" s="18"/>
      <c r="H15" s="18"/>
      <c r="I15" s="18"/>
      <c r="J15" s="18"/>
      <c r="K15" s="18"/>
      <c r="L15" s="18"/>
      <c r="M15" s="18"/>
      <c r="N15" s="18"/>
    </row>
    <row r="16" spans="1:14" ht="45" customHeight="1" x14ac:dyDescent="0.25">
      <c r="A16" s="116"/>
      <c r="B16" s="116"/>
      <c r="C16" s="119"/>
      <c r="D16" s="21" t="s">
        <v>157</v>
      </c>
      <c r="E16" s="21" t="s">
        <v>158</v>
      </c>
      <c r="F16" s="120" t="s">
        <v>235</v>
      </c>
      <c r="G16" s="18"/>
      <c r="H16" s="18"/>
      <c r="I16" s="18"/>
      <c r="J16" s="18"/>
      <c r="K16" s="18"/>
      <c r="L16" s="18"/>
      <c r="M16" s="18"/>
      <c r="N16" s="18"/>
    </row>
    <row r="17" spans="1:14" ht="35.25" customHeight="1" x14ac:dyDescent="0.25">
      <c r="A17" s="116"/>
      <c r="B17" s="116"/>
      <c r="C17" s="119" t="s">
        <v>159</v>
      </c>
      <c r="D17" s="21" t="s">
        <v>160</v>
      </c>
      <c r="E17" s="21" t="s">
        <v>161</v>
      </c>
      <c r="F17" s="123" t="s">
        <v>248</v>
      </c>
      <c r="G17" s="18"/>
      <c r="H17" s="18"/>
      <c r="I17" s="18"/>
      <c r="J17" s="18"/>
      <c r="K17" s="18"/>
      <c r="L17" s="18"/>
      <c r="M17" s="18"/>
      <c r="N17" s="18"/>
    </row>
    <row r="18" spans="1:14" ht="30" x14ac:dyDescent="0.25">
      <c r="A18" s="116"/>
      <c r="B18" s="116"/>
      <c r="C18" s="119"/>
      <c r="D18" s="21" t="s">
        <v>162</v>
      </c>
      <c r="E18" s="21" t="s">
        <v>163</v>
      </c>
      <c r="F18" s="123" t="s">
        <v>248</v>
      </c>
      <c r="G18" s="18"/>
      <c r="H18" s="18"/>
      <c r="I18" s="18"/>
      <c r="J18" s="18"/>
      <c r="K18" s="18"/>
      <c r="L18" s="18"/>
      <c r="M18" s="18"/>
      <c r="N18" s="18"/>
    </row>
    <row r="19" spans="1:14" ht="33.75" customHeight="1" x14ac:dyDescent="0.25">
      <c r="A19" s="116"/>
      <c r="B19" s="116"/>
      <c r="C19" s="119"/>
      <c r="D19" s="21" t="s">
        <v>164</v>
      </c>
      <c r="E19" s="21" t="s">
        <v>165</v>
      </c>
      <c r="F19" s="123" t="s">
        <v>248</v>
      </c>
      <c r="G19" s="18"/>
      <c r="H19" s="18"/>
      <c r="I19" s="18"/>
      <c r="J19" s="18"/>
      <c r="K19" s="18"/>
      <c r="L19" s="18"/>
      <c r="M19" s="18"/>
      <c r="N19" s="18"/>
    </row>
    <row r="20" spans="1:14" ht="30" x14ac:dyDescent="0.25">
      <c r="A20" s="116"/>
      <c r="B20" s="116"/>
      <c r="C20" s="119"/>
      <c r="D20" s="21" t="s">
        <v>166</v>
      </c>
      <c r="E20" s="21" t="s">
        <v>167</v>
      </c>
      <c r="F20" s="123" t="s">
        <v>248</v>
      </c>
      <c r="G20" s="18"/>
      <c r="H20" s="18"/>
      <c r="I20" s="18"/>
      <c r="J20" s="18"/>
      <c r="K20" s="18"/>
      <c r="L20" s="18"/>
      <c r="M20" s="18"/>
      <c r="N20" s="18"/>
    </row>
    <row r="21" spans="1:14" ht="36.75" customHeight="1" x14ac:dyDescent="0.25">
      <c r="A21" s="116"/>
      <c r="B21" s="116"/>
      <c r="C21" s="119" t="s">
        <v>59</v>
      </c>
      <c r="D21" s="21" t="s">
        <v>168</v>
      </c>
      <c r="E21" s="21" t="s">
        <v>169</v>
      </c>
      <c r="F21" s="122" t="s">
        <v>249</v>
      </c>
      <c r="G21" s="18"/>
      <c r="H21" s="18"/>
      <c r="I21" s="18"/>
      <c r="J21" s="18"/>
      <c r="K21" s="18"/>
      <c r="L21" s="18"/>
      <c r="M21" s="18"/>
      <c r="N21" s="18"/>
    </row>
    <row r="22" spans="1:14" ht="32.25" customHeight="1" x14ac:dyDescent="0.25">
      <c r="A22" s="116"/>
      <c r="B22" s="116"/>
      <c r="C22" s="119"/>
      <c r="D22" s="21" t="s">
        <v>170</v>
      </c>
      <c r="E22" s="21" t="s">
        <v>171</v>
      </c>
      <c r="F22" s="122" t="s">
        <v>249</v>
      </c>
      <c r="G22" s="18"/>
      <c r="H22" s="18"/>
      <c r="I22" s="18"/>
      <c r="J22" s="18"/>
      <c r="K22" s="18"/>
      <c r="L22" s="18"/>
      <c r="M22" s="18"/>
      <c r="N22" s="18"/>
    </row>
    <row r="23" spans="1:14" ht="28.5" customHeight="1" x14ac:dyDescent="0.25">
      <c r="A23" s="116"/>
      <c r="B23" s="116"/>
      <c r="C23" s="119"/>
      <c r="D23" s="21" t="s">
        <v>172</v>
      </c>
      <c r="E23" s="21" t="s">
        <v>173</v>
      </c>
      <c r="F23" s="122" t="s">
        <v>249</v>
      </c>
      <c r="G23" s="18"/>
      <c r="H23" s="18"/>
      <c r="I23" s="18"/>
      <c r="J23" s="18"/>
      <c r="K23" s="18"/>
      <c r="L23" s="18"/>
      <c r="M23" s="18"/>
      <c r="N23" s="18"/>
    </row>
    <row r="24" spans="1:14" ht="30" x14ac:dyDescent="0.25">
      <c r="A24" s="116"/>
      <c r="B24" s="116"/>
      <c r="C24" s="119"/>
      <c r="D24" s="21" t="s">
        <v>174</v>
      </c>
      <c r="E24" s="21" t="s">
        <v>175</v>
      </c>
      <c r="F24" s="122" t="s">
        <v>249</v>
      </c>
      <c r="G24" s="18"/>
      <c r="H24" s="18"/>
      <c r="I24" s="18"/>
      <c r="J24" s="18"/>
      <c r="K24" s="18"/>
      <c r="L24" s="18"/>
      <c r="M24" s="18"/>
      <c r="N24" s="18"/>
    </row>
    <row r="25" spans="1:14" ht="35.25" customHeight="1" x14ac:dyDescent="0.25">
      <c r="A25" s="116"/>
      <c r="B25" s="116"/>
      <c r="C25" s="3" t="s">
        <v>176</v>
      </c>
      <c r="D25" s="21" t="s">
        <v>177</v>
      </c>
      <c r="E25" s="21" t="s">
        <v>178</v>
      </c>
      <c r="F25" s="122" t="s">
        <v>249</v>
      </c>
      <c r="G25" s="18"/>
      <c r="H25" s="18"/>
      <c r="I25" s="18"/>
      <c r="J25" s="18"/>
      <c r="K25" s="18"/>
      <c r="L25" s="18"/>
      <c r="M25" s="18"/>
      <c r="N25" s="18"/>
    </row>
    <row r="26" spans="1:14" ht="31.5" customHeight="1" x14ac:dyDescent="0.25">
      <c r="A26" s="116"/>
      <c r="B26" s="116"/>
      <c r="C26" s="119" t="s">
        <v>179</v>
      </c>
      <c r="D26" s="124" t="s">
        <v>180</v>
      </c>
      <c r="E26" s="124" t="s">
        <v>181</v>
      </c>
      <c r="F26" s="121" t="s">
        <v>250</v>
      </c>
      <c r="G26" s="18"/>
      <c r="H26" s="18"/>
      <c r="I26" s="18"/>
      <c r="J26" s="18"/>
      <c r="K26" s="18"/>
      <c r="L26" s="18"/>
      <c r="M26" s="18"/>
      <c r="N26" s="18"/>
    </row>
    <row r="27" spans="1:14" ht="30" x14ac:dyDescent="0.25">
      <c r="A27" s="116"/>
      <c r="B27" s="116"/>
      <c r="C27" s="119"/>
      <c r="D27" s="124" t="s">
        <v>182</v>
      </c>
      <c r="E27" s="124" t="s">
        <v>183</v>
      </c>
      <c r="F27" s="121" t="s">
        <v>250</v>
      </c>
      <c r="G27" s="18"/>
      <c r="H27" s="18"/>
      <c r="I27" s="18"/>
      <c r="J27" s="18"/>
      <c r="K27" s="18"/>
      <c r="L27" s="18"/>
      <c r="M27" s="18"/>
      <c r="N27" s="18"/>
    </row>
    <row r="28" spans="1:14" ht="23.25" customHeight="1" x14ac:dyDescent="0.25">
      <c r="A28" s="116"/>
      <c r="B28" s="116"/>
      <c r="C28" s="119"/>
      <c r="D28" s="124" t="s">
        <v>184</v>
      </c>
      <c r="E28" s="124" t="s">
        <v>185</v>
      </c>
      <c r="F28" s="121" t="s">
        <v>250</v>
      </c>
      <c r="G28" s="18"/>
      <c r="H28" s="18"/>
      <c r="I28" s="18"/>
      <c r="J28" s="18"/>
      <c r="K28" s="18"/>
      <c r="L28" s="18"/>
      <c r="M28" s="18"/>
      <c r="N28" s="18"/>
    </row>
    <row r="29" spans="1:14" ht="32.25" customHeight="1" x14ac:dyDescent="0.25">
      <c r="A29" s="116"/>
      <c r="B29" s="116"/>
      <c r="C29" s="119"/>
      <c r="D29" s="124" t="s">
        <v>186</v>
      </c>
      <c r="E29" s="124" t="s">
        <v>187</v>
      </c>
      <c r="F29" s="121" t="s">
        <v>250</v>
      </c>
      <c r="G29" s="18"/>
      <c r="H29" s="18"/>
      <c r="I29" s="18"/>
      <c r="J29" s="18"/>
      <c r="K29" s="18"/>
      <c r="L29" s="18"/>
      <c r="M29" s="18"/>
      <c r="N29" s="18"/>
    </row>
    <row r="30" spans="1:14" ht="19.5" customHeight="1" x14ac:dyDescent="0.25">
      <c r="A30" s="116"/>
      <c r="B30" s="116"/>
      <c r="C30" s="119"/>
      <c r="D30" s="21" t="s">
        <v>188</v>
      </c>
      <c r="E30" s="21" t="s">
        <v>189</v>
      </c>
      <c r="F30" s="122" t="s">
        <v>249</v>
      </c>
      <c r="G30" s="18"/>
      <c r="H30" s="18"/>
      <c r="I30" s="18"/>
      <c r="J30" s="18"/>
      <c r="K30" s="18"/>
      <c r="L30" s="18"/>
      <c r="M30" s="18"/>
      <c r="N30" s="18"/>
    </row>
    <row r="31" spans="1:14" ht="30" x14ac:dyDescent="0.25">
      <c r="A31" s="116"/>
      <c r="B31" s="116"/>
      <c r="C31" s="119"/>
      <c r="D31" s="21" t="s">
        <v>190</v>
      </c>
      <c r="E31" s="21" t="s">
        <v>191</v>
      </c>
      <c r="F31" s="122" t="s">
        <v>249</v>
      </c>
      <c r="G31" s="18"/>
      <c r="H31" s="18"/>
      <c r="I31" s="18"/>
      <c r="J31" s="18"/>
      <c r="K31" s="18"/>
      <c r="L31" s="18"/>
      <c r="M31" s="18"/>
      <c r="N31" s="18"/>
    </row>
    <row r="32" spans="1:14" x14ac:dyDescent="0.25">
      <c r="A32" s="116"/>
      <c r="B32" s="116"/>
      <c r="C32" s="119"/>
      <c r="D32" s="21" t="s">
        <v>192</v>
      </c>
      <c r="E32" s="21" t="s">
        <v>193</v>
      </c>
      <c r="F32" s="122" t="s">
        <v>249</v>
      </c>
      <c r="G32" s="18"/>
      <c r="H32" s="18"/>
      <c r="I32" s="18"/>
      <c r="J32" s="18"/>
      <c r="K32" s="18"/>
      <c r="L32" s="18"/>
      <c r="M32" s="18"/>
      <c r="N32" s="18"/>
    </row>
    <row r="33" spans="1:14" ht="48" customHeight="1" x14ac:dyDescent="0.25">
      <c r="A33" s="116"/>
      <c r="B33" s="116"/>
      <c r="C33" s="119"/>
      <c r="D33" s="124" t="s">
        <v>194</v>
      </c>
      <c r="E33" s="124" t="s">
        <v>195</v>
      </c>
      <c r="F33" s="121" t="s">
        <v>250</v>
      </c>
      <c r="G33" s="18"/>
      <c r="H33" s="18"/>
      <c r="I33" s="18"/>
      <c r="J33" s="18"/>
      <c r="K33" s="18"/>
      <c r="L33" s="18"/>
      <c r="M33" s="18"/>
      <c r="N33" s="18"/>
    </row>
    <row r="34" spans="1:14" ht="31.5" customHeight="1" x14ac:dyDescent="0.25">
      <c r="A34" s="116"/>
      <c r="B34" s="116"/>
      <c r="C34" s="119"/>
      <c r="D34" s="124" t="s">
        <v>196</v>
      </c>
      <c r="E34" s="124" t="s">
        <v>197</v>
      </c>
      <c r="F34" s="121" t="s">
        <v>250</v>
      </c>
      <c r="G34" s="18"/>
      <c r="H34" s="18"/>
      <c r="I34" s="18"/>
      <c r="J34" s="18"/>
      <c r="K34" s="18"/>
      <c r="L34" s="18"/>
      <c r="M34" s="18"/>
      <c r="N34" s="18"/>
    </row>
    <row r="35" spans="1:14" ht="20.25" customHeight="1" x14ac:dyDescent="0.25">
      <c r="A35" s="116"/>
      <c r="B35" s="116"/>
      <c r="C35" s="119"/>
      <c r="D35" s="124" t="s">
        <v>198</v>
      </c>
      <c r="E35" s="124" t="s">
        <v>199</v>
      </c>
      <c r="F35" s="121" t="s">
        <v>250</v>
      </c>
      <c r="G35" s="18"/>
      <c r="H35" s="18"/>
      <c r="I35" s="18"/>
      <c r="J35" s="18"/>
      <c r="K35" s="18"/>
      <c r="L35" s="18"/>
      <c r="M35" s="18"/>
      <c r="N35" s="18"/>
    </row>
    <row r="36" spans="1:14" ht="30" x14ac:dyDescent="0.25">
      <c r="A36" s="116"/>
      <c r="B36" s="116"/>
      <c r="C36" s="119"/>
      <c r="D36" s="124" t="s">
        <v>200</v>
      </c>
      <c r="E36" s="124" t="s">
        <v>201</v>
      </c>
      <c r="F36" s="121" t="s">
        <v>250</v>
      </c>
      <c r="G36" s="18"/>
      <c r="H36" s="18"/>
      <c r="I36" s="18"/>
      <c r="J36" s="18"/>
      <c r="K36" s="18"/>
      <c r="L36" s="18"/>
      <c r="M36" s="18"/>
      <c r="N36" s="18"/>
    </row>
    <row r="37" spans="1:14" ht="30" customHeight="1" x14ac:dyDescent="0.25">
      <c r="A37" s="116"/>
      <c r="B37" s="116"/>
      <c r="C37" s="119"/>
      <c r="D37" s="124" t="s">
        <v>202</v>
      </c>
      <c r="E37" s="124" t="s">
        <v>203</v>
      </c>
      <c r="F37" s="121" t="s">
        <v>250</v>
      </c>
      <c r="G37" s="18"/>
      <c r="H37" s="18"/>
      <c r="I37" s="18"/>
      <c r="J37" s="18"/>
      <c r="K37" s="18"/>
      <c r="L37" s="18"/>
      <c r="M37" s="18"/>
      <c r="N37" s="18"/>
    </row>
    <row r="38" spans="1:14" ht="20.25" customHeight="1" x14ac:dyDescent="0.25">
      <c r="A38" s="116"/>
      <c r="B38" s="116"/>
      <c r="C38" s="119"/>
      <c r="D38" s="124" t="s">
        <v>204</v>
      </c>
      <c r="E38" s="124" t="s">
        <v>205</v>
      </c>
      <c r="F38" s="121" t="s">
        <v>250</v>
      </c>
      <c r="G38" s="18"/>
      <c r="H38" s="18"/>
      <c r="I38" s="18"/>
      <c r="J38" s="18"/>
      <c r="K38" s="18"/>
      <c r="L38" s="18"/>
      <c r="M38" s="18"/>
      <c r="N38" s="18"/>
    </row>
    <row r="39" spans="1:14" ht="30.75" customHeight="1" x14ac:dyDescent="0.25">
      <c r="A39" s="116"/>
      <c r="B39" s="116"/>
      <c r="C39" s="119"/>
      <c r="D39" s="124" t="s">
        <v>206</v>
      </c>
      <c r="E39" s="124" t="s">
        <v>207</v>
      </c>
      <c r="F39" s="121" t="s">
        <v>250</v>
      </c>
      <c r="G39" s="18"/>
      <c r="H39" s="18"/>
      <c r="I39" s="18"/>
      <c r="J39" s="18"/>
      <c r="K39" s="18"/>
      <c r="L39" s="18"/>
      <c r="M39" s="18"/>
      <c r="N39" s="18"/>
    </row>
    <row r="40" spans="1:14" ht="34.5" customHeight="1" x14ac:dyDescent="0.25">
      <c r="A40" s="116"/>
      <c r="B40" s="116"/>
      <c r="C40" s="119"/>
      <c r="D40" s="124" t="s">
        <v>208</v>
      </c>
      <c r="E40" s="124" t="s">
        <v>209</v>
      </c>
      <c r="F40" s="121" t="s">
        <v>250</v>
      </c>
      <c r="G40" s="18"/>
      <c r="H40" s="18"/>
      <c r="I40" s="18"/>
      <c r="J40" s="18"/>
      <c r="K40" s="18"/>
      <c r="L40" s="18"/>
      <c r="M40" s="18"/>
      <c r="N40" s="18"/>
    </row>
    <row r="41" spans="1:14" ht="16.5" customHeight="1" x14ac:dyDescent="0.25">
      <c r="A41" s="116"/>
      <c r="B41" s="116"/>
      <c r="C41" s="119" t="s">
        <v>210</v>
      </c>
      <c r="D41" s="21" t="s">
        <v>211</v>
      </c>
      <c r="E41" s="21" t="s">
        <v>212</v>
      </c>
      <c r="F41" s="122" t="s">
        <v>249</v>
      </c>
      <c r="G41" s="127" t="s">
        <v>251</v>
      </c>
      <c r="H41" s="18"/>
      <c r="I41" s="18"/>
      <c r="J41" s="18"/>
      <c r="K41" s="18"/>
      <c r="L41" s="18"/>
      <c r="M41" s="18"/>
      <c r="N41" s="18"/>
    </row>
    <row r="42" spans="1:14" ht="14.25" customHeight="1" x14ac:dyDescent="0.25">
      <c r="A42" s="116"/>
      <c r="B42" s="116"/>
      <c r="C42" s="119"/>
      <c r="D42" s="21" t="s">
        <v>213</v>
      </c>
      <c r="E42" s="21" t="s">
        <v>214</v>
      </c>
      <c r="F42" s="122" t="s">
        <v>249</v>
      </c>
      <c r="G42" s="128"/>
      <c r="H42" s="18"/>
      <c r="I42" s="18"/>
      <c r="J42" s="18"/>
      <c r="K42" s="18"/>
      <c r="L42" s="18"/>
      <c r="M42" s="18"/>
      <c r="N42" s="18"/>
    </row>
    <row r="43" spans="1:14" ht="15" customHeight="1" x14ac:dyDescent="0.25">
      <c r="A43" s="116"/>
      <c r="B43" s="116"/>
      <c r="C43" s="119"/>
      <c r="D43" s="21" t="s">
        <v>215</v>
      </c>
      <c r="E43" s="21" t="s">
        <v>216</v>
      </c>
      <c r="F43" s="122" t="s">
        <v>249</v>
      </c>
      <c r="G43" s="129"/>
      <c r="H43" s="18"/>
      <c r="I43" s="18"/>
      <c r="J43" s="18"/>
      <c r="K43" s="18"/>
      <c r="L43" s="18"/>
      <c r="M43" s="18"/>
      <c r="N43" s="18"/>
    </row>
    <row r="44" spans="1:14" ht="15" customHeight="1" x14ac:dyDescent="0.25">
      <c r="A44" s="116"/>
      <c r="B44" s="116"/>
      <c r="C44" s="119"/>
      <c r="D44" s="124" t="s">
        <v>217</v>
      </c>
      <c r="E44" s="124" t="s">
        <v>218</v>
      </c>
      <c r="F44" s="121" t="s">
        <v>250</v>
      </c>
      <c r="G44" s="18"/>
      <c r="H44" s="18"/>
      <c r="I44" s="18"/>
      <c r="J44" s="18"/>
      <c r="K44" s="18"/>
      <c r="L44" s="18"/>
      <c r="M44" s="18"/>
      <c r="N44" s="18"/>
    </row>
    <row r="45" spans="1:14" ht="15.75" customHeight="1" x14ac:dyDescent="0.25">
      <c r="A45" s="116"/>
      <c r="B45" s="116"/>
      <c r="C45" s="119"/>
      <c r="D45" s="124" t="s">
        <v>219</v>
      </c>
      <c r="E45" s="124" t="s">
        <v>220</v>
      </c>
      <c r="F45" s="121" t="s">
        <v>250</v>
      </c>
      <c r="G45" s="18"/>
      <c r="H45" s="18"/>
      <c r="I45" s="18"/>
      <c r="J45" s="18"/>
      <c r="K45" s="18"/>
      <c r="L45" s="18"/>
      <c r="M45" s="18"/>
      <c r="N45" s="18"/>
    </row>
    <row r="46" spans="1:14" ht="30" x14ac:dyDescent="0.25">
      <c r="A46" s="116"/>
      <c r="B46" s="116"/>
      <c r="C46" s="119"/>
      <c r="D46" s="124" t="s">
        <v>221</v>
      </c>
      <c r="E46" s="124" t="s">
        <v>222</v>
      </c>
      <c r="F46" s="121" t="s">
        <v>250</v>
      </c>
      <c r="G46" s="18"/>
      <c r="H46" s="18"/>
      <c r="I46" s="18"/>
      <c r="J46" s="18"/>
      <c r="K46" s="18"/>
      <c r="L46" s="18"/>
      <c r="M46" s="18"/>
      <c r="N46" s="18"/>
    </row>
    <row r="47" spans="1:14" ht="30.75" customHeight="1" x14ac:dyDescent="0.25">
      <c r="A47" s="116"/>
      <c r="B47" s="116"/>
      <c r="C47" s="119"/>
      <c r="D47" s="21" t="s">
        <v>223</v>
      </c>
      <c r="E47" s="21" t="s">
        <v>224</v>
      </c>
      <c r="F47" s="122" t="s">
        <v>249</v>
      </c>
      <c r="G47" s="18"/>
      <c r="H47" s="18"/>
      <c r="I47" s="18"/>
      <c r="J47" s="18"/>
      <c r="K47" s="18"/>
      <c r="L47" s="18"/>
      <c r="M47" s="18"/>
      <c r="N47" s="18"/>
    </row>
    <row r="48" spans="1:14" ht="45" x14ac:dyDescent="0.25">
      <c r="A48" s="116"/>
      <c r="B48" s="116"/>
      <c r="C48" s="119"/>
      <c r="D48" s="21" t="s">
        <v>225</v>
      </c>
      <c r="E48" s="21" t="s">
        <v>226</v>
      </c>
      <c r="F48" s="122" t="s">
        <v>249</v>
      </c>
      <c r="G48" s="18"/>
      <c r="H48" s="18"/>
      <c r="I48" s="18"/>
      <c r="J48" s="18"/>
      <c r="K48" s="18"/>
      <c r="L48" s="18"/>
      <c r="M48" s="18"/>
      <c r="N48" s="18"/>
    </row>
    <row r="49" spans="1:14" ht="45.75" customHeight="1" x14ac:dyDescent="0.25">
      <c r="A49" s="116"/>
      <c r="B49" s="116"/>
      <c r="C49" s="119" t="s">
        <v>57</v>
      </c>
      <c r="D49" s="21" t="s">
        <v>227</v>
      </c>
      <c r="E49" s="21" t="s">
        <v>228</v>
      </c>
      <c r="F49" s="122" t="s">
        <v>249</v>
      </c>
      <c r="G49" s="18"/>
      <c r="H49" s="18"/>
      <c r="I49" s="18"/>
      <c r="J49" s="18"/>
      <c r="K49" s="18"/>
      <c r="L49" s="18"/>
      <c r="M49" s="18"/>
      <c r="N49" s="18"/>
    </row>
    <row r="50" spans="1:14" ht="47.25" customHeight="1" x14ac:dyDescent="0.25">
      <c r="A50" s="116"/>
      <c r="B50" s="116"/>
      <c r="C50" s="119"/>
      <c r="D50" s="21" t="s">
        <v>229</v>
      </c>
      <c r="E50" s="21" t="s">
        <v>230</v>
      </c>
      <c r="F50" s="122" t="s">
        <v>249</v>
      </c>
      <c r="G50" s="18"/>
      <c r="H50" s="18"/>
      <c r="I50" s="18"/>
      <c r="J50" s="18"/>
      <c r="K50" s="18"/>
      <c r="L50" s="18"/>
      <c r="M50" s="18"/>
      <c r="N50" s="18"/>
    </row>
    <row r="51" spans="1:14" ht="33" customHeight="1" x14ac:dyDescent="0.25">
      <c r="A51" s="116"/>
      <c r="B51" s="116"/>
      <c r="C51" s="119" t="s">
        <v>61</v>
      </c>
      <c r="D51" s="21" t="s">
        <v>231</v>
      </c>
      <c r="E51" s="21" t="s">
        <v>232</v>
      </c>
      <c r="F51" s="122" t="s">
        <v>249</v>
      </c>
      <c r="G51" s="18"/>
      <c r="H51" s="18"/>
      <c r="I51" s="18"/>
      <c r="J51" s="18"/>
      <c r="K51" s="18"/>
      <c r="L51" s="18"/>
      <c r="M51" s="18"/>
      <c r="N51" s="18"/>
    </row>
    <row r="52" spans="1:14" ht="46.5" customHeight="1" x14ac:dyDescent="0.25">
      <c r="A52" s="116"/>
      <c r="B52" s="116"/>
      <c r="C52" s="119"/>
      <c r="D52" s="21" t="s">
        <v>233</v>
      </c>
      <c r="E52" s="21" t="s">
        <v>234</v>
      </c>
      <c r="F52" s="122" t="s">
        <v>249</v>
      </c>
      <c r="G52" s="18"/>
      <c r="H52" s="18"/>
      <c r="I52" s="18"/>
      <c r="J52" s="18"/>
      <c r="K52" s="18"/>
      <c r="L52" s="18"/>
      <c r="M52" s="18"/>
      <c r="N52" s="18"/>
    </row>
  </sheetData>
  <mergeCells count="14">
    <mergeCell ref="G41:G43"/>
    <mergeCell ref="A3:A5"/>
    <mergeCell ref="A2:E2"/>
    <mergeCell ref="B3:B5"/>
    <mergeCell ref="A6:E6"/>
    <mergeCell ref="A7:A52"/>
    <mergeCell ref="B7:B52"/>
    <mergeCell ref="C7:C16"/>
    <mergeCell ref="C17:C20"/>
    <mergeCell ref="C21:C24"/>
    <mergeCell ref="C26:C40"/>
    <mergeCell ref="C41:C48"/>
    <mergeCell ref="C49:C50"/>
    <mergeCell ref="C51:C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B081-3592-46DD-94FB-56B20DF65E28}">
  <sheetPr>
    <tabColor theme="5"/>
  </sheetPr>
  <dimension ref="A1:Q4"/>
  <sheetViews>
    <sheetView zoomScale="115" zoomScaleNormal="115" workbookViewId="0">
      <pane ySplit="1" topLeftCell="A2" activePane="bottomLeft" state="frozen"/>
      <selection pane="bottomLeft" activeCell="F3" sqref="F3"/>
    </sheetView>
  </sheetViews>
  <sheetFormatPr defaultColWidth="8.85546875" defaultRowHeight="15" x14ac:dyDescent="0.25"/>
  <cols>
    <col min="1" max="1" width="6" bestFit="1" customWidth="1"/>
    <col min="2" max="2" width="12.28515625" bestFit="1" customWidth="1"/>
    <col min="3" max="3" width="16.42578125" bestFit="1" customWidth="1"/>
    <col min="4" max="4" width="83.85546875" customWidth="1"/>
    <col min="5" max="5" width="35.42578125" customWidth="1"/>
    <col min="6" max="6" width="58.5703125" customWidth="1"/>
    <col min="7" max="7" width="7.42578125" customWidth="1"/>
  </cols>
  <sheetData>
    <row r="1" spans="1:17" ht="18.75" x14ac:dyDescent="0.25">
      <c r="A1" s="80" t="s">
        <v>23</v>
      </c>
      <c r="B1" s="80" t="s">
        <v>10</v>
      </c>
      <c r="C1" s="81" t="s">
        <v>117</v>
      </c>
      <c r="D1" s="81" t="s">
        <v>235</v>
      </c>
      <c r="E1" s="81" t="s">
        <v>246</v>
      </c>
      <c r="F1" s="81" t="s">
        <v>235</v>
      </c>
      <c r="G1" s="4"/>
      <c r="H1" s="9"/>
      <c r="I1" s="10"/>
      <c r="J1" s="10"/>
      <c r="K1" s="11"/>
      <c r="L1" s="7"/>
      <c r="M1" s="7"/>
      <c r="N1" s="7"/>
      <c r="O1" s="7"/>
      <c r="P1" s="7"/>
      <c r="Q1" s="1"/>
    </row>
    <row r="2" spans="1:17" ht="45.75" customHeight="1" x14ac:dyDescent="0.25">
      <c r="A2" s="25">
        <v>1</v>
      </c>
      <c r="B2" s="25" t="s">
        <v>236</v>
      </c>
      <c r="C2" s="25" t="s">
        <v>237</v>
      </c>
      <c r="D2" s="26" t="s">
        <v>238</v>
      </c>
      <c r="E2" s="125" t="s">
        <v>245</v>
      </c>
      <c r="F2" s="126" t="s">
        <v>247</v>
      </c>
      <c r="G2" s="5"/>
      <c r="H2" s="6"/>
      <c r="I2" s="7"/>
      <c r="J2" s="7"/>
      <c r="K2" s="7"/>
      <c r="L2" s="7"/>
      <c r="M2" s="7"/>
      <c r="N2" s="7"/>
      <c r="O2" s="7"/>
      <c r="P2" s="8"/>
      <c r="Q2" s="2"/>
    </row>
    <row r="3" spans="1:17" ht="45" x14ac:dyDescent="0.25">
      <c r="A3" s="25">
        <v>2</v>
      </c>
      <c r="B3" s="25" t="s">
        <v>239</v>
      </c>
      <c r="C3" s="25" t="s">
        <v>240</v>
      </c>
      <c r="D3" s="25" t="s">
        <v>241</v>
      </c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8"/>
    </row>
    <row r="4" spans="1:17" ht="45" x14ac:dyDescent="0.25">
      <c r="A4" s="25">
        <v>3</v>
      </c>
      <c r="B4" s="25" t="s">
        <v>242</v>
      </c>
      <c r="C4" s="25" t="s">
        <v>243</v>
      </c>
      <c r="D4" s="25" t="s">
        <v>244</v>
      </c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5EA19087DB945B07DE1FB6558D43A" ma:contentTypeVersion="15" ma:contentTypeDescription="Create a new document." ma:contentTypeScope="" ma:versionID="840020d940a30806f02b57839630075f">
  <xsd:schema xmlns:xsd="http://www.w3.org/2001/XMLSchema" xmlns:xs="http://www.w3.org/2001/XMLSchema" xmlns:p="http://schemas.microsoft.com/office/2006/metadata/properties" xmlns:ns3="b42d5d4a-81e0-4e05-b80d-6c1e0abfd376" xmlns:ns4="0e7ca2c6-a28f-497f-9c8e-aaf0ea729d76" targetNamespace="http://schemas.microsoft.com/office/2006/metadata/properties" ma:root="true" ma:fieldsID="fe8cdaf50c77069e803a00ca73751134" ns3:_="" ns4:_="">
    <xsd:import namespace="b42d5d4a-81e0-4e05-b80d-6c1e0abfd376"/>
    <xsd:import namespace="0e7ca2c6-a28f-497f-9c8e-aaf0ea729d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d5d4a-81e0-4e05-b80d-6c1e0abfd3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a2c6-a28f-497f-9c8e-aaf0ea729d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7ca2c6-a28f-497f-9c8e-aaf0ea729d76" xsi:nil="true"/>
  </documentManagement>
</p:properties>
</file>

<file path=customXml/itemProps1.xml><?xml version="1.0" encoding="utf-8"?>
<ds:datastoreItem xmlns:ds="http://schemas.openxmlformats.org/officeDocument/2006/customXml" ds:itemID="{13FF6C20-8156-48AB-A8E4-81FBF5BE8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2d5d4a-81e0-4e05-b80d-6c1e0abfd376"/>
    <ds:schemaRef ds:uri="0e7ca2c6-a28f-497f-9c8e-aaf0ea729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93AA2D-F6E5-4358-8105-087CD93DB9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EAA7DF-40DF-4F29-B717-A0AD01D70592}">
  <ds:schemaRefs>
    <ds:schemaRef ds:uri="0e7ca2c6-a28f-497f-9c8e-aaf0ea729d76"/>
    <ds:schemaRef ds:uri="http://schemas.microsoft.com/office/2006/documentManagement/types"/>
    <ds:schemaRef ds:uri="http://purl.org/dc/elements/1.1/"/>
    <ds:schemaRef ds:uri="http://schemas.microsoft.com/office/2006/metadata/properties"/>
    <ds:schemaRef ds:uri="b42d5d4a-81e0-4e05-b80d-6c1e0abfd376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MVP</vt:lpstr>
      <vt:lpstr>Gantt</vt:lpstr>
      <vt:lpstr>MVP2</vt:lpstr>
      <vt:lpstr>Out of Scope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Steven English</cp:lastModifiedBy>
  <cp:revision/>
  <dcterms:created xsi:type="dcterms:W3CDTF">2026-04-30T09:42:44Z</dcterms:created>
  <dcterms:modified xsi:type="dcterms:W3CDTF">2026-05-06T14:00:32Z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0x0101003155EA19087DB945B07DE1FB6558D43A</vt:lpwstr>
  </property>
</Properties>
</file>